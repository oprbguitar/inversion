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RANKING" sheetId="2" state="visible" r:id="rId2"/>
    <sheet name="ESCALAS DE TASA" sheetId="3" state="visible" r:id="rId3"/>
    <sheet name="SIMULADOR" sheetId="4" state="visible" r:id="rId4"/>
    <sheet name="TASA BCRP" sheetId="5" state="visible" r:id="rId5"/>
    <sheet name="FSD Y SEGURIDAD" sheetId="6" state="visible" r:id="rId6"/>
    <sheet name="FICHAS POR ENTIDAD" sheetId="7" state="visible" r:id="rId7"/>
    <sheet name="TARJETAS DE CREDITO" sheetId="8" state="visible" r:id="rId8"/>
    <sheet name="ENTIDADES AUTORIZADAS" sheetId="9" state="visible" r:id="rId9"/>
    <sheet name="FUENTES Y NOTAS" sheetId="10" state="visible" r:id="rId10"/>
  </sheets>
  <definedNames>
    <definedName name="_xlnm._FilterDatabase" localSheetId="1" hidden="1">'RANKING'!$A$4:$N$20</definedName>
    <definedName name="_xlnm._FilterDatabase" localSheetId="2" hidden="1">'ESCALAS DE TASA'!$A$4:$E$36</definedName>
    <definedName name="_xlnm._FilterDatabase" localSheetId="6" hidden="1">'FICHAS POR ENTIDAD'!$A$4:$L$20</definedName>
    <definedName name="_xlnm._FilterDatabase" localSheetId="7" hidden="1">'TARJETAS DE CREDITO'!$A$4:$J$21</definedName>
    <definedName name="_xlnm._FilterDatabase" localSheetId="8" hidden="1">'ENTIDADES AUTORIZADAS'!$A$4:$C$45</definedName>
    <definedName name="_xlnm._FilterDatabase" localSheetId="9" hidden="1">'FUENTES Y NOTAS'!$A$4:$F$28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S/&quot;#,##0"/>
    <numFmt numFmtId="165" formatCode="&quot;S/&quot;#,##0.00"/>
    <numFmt numFmtId="166" formatCode="0.0000%"/>
    <numFmt numFmtId="167" formatCode="+0.00;-0.00;0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D4B5C"/>
      <sz val="9"/>
    </font>
    <font>
      <b val="1"/>
      <color rgb="005A6A7D"/>
      <sz val="8"/>
    </font>
    <font>
      <b val="1"/>
      <color rgb="000B3D6B"/>
      <sz val="18"/>
    </font>
    <font>
      <b val="1"/>
      <color rgb="001668AD"/>
      <sz val="10"/>
    </font>
    <font>
      <b val="1"/>
      <color rgb="000B3D6B"/>
      <sz val="10"/>
    </font>
    <font>
      <b val="1"/>
      <color rgb="00FFFFFF"/>
      <sz val="11"/>
    </font>
    <font>
      <b val="1"/>
      <color rgb="00FFFFFF"/>
      <sz val="10"/>
    </font>
    <font>
      <color rgb="001668AD"/>
      <sz val="9"/>
      <u val="single"/>
    </font>
    <font>
      <b val="1"/>
    </font>
    <font>
      <b val="1"/>
      <sz val="10"/>
    </font>
    <font>
      <i val="1"/>
      <color rgb="005A6A7D"/>
      <sz val="9"/>
    </font>
  </fonts>
  <fills count="7">
    <fill>
      <patternFill/>
    </fill>
    <fill>
      <patternFill patternType="gray125"/>
    </fill>
    <fill>
      <patternFill patternType="solid">
        <fgColor rgb="000B3D6B"/>
      </patternFill>
    </fill>
    <fill>
      <patternFill patternType="solid">
        <fgColor rgb="00EEF2F7"/>
      </patternFill>
    </fill>
    <fill>
      <patternFill patternType="solid">
        <fgColor rgb="00F2F6FA"/>
      </patternFill>
    </fill>
    <fill>
      <patternFill patternType="solid">
        <fgColor rgb="001668AD"/>
      </patternFill>
    </fill>
    <fill>
      <patternFill patternType="solid">
        <fgColor rgb="00FFF4CC"/>
      </patternFill>
    </fill>
  </fills>
  <borders count="4">
    <border>
      <left/>
      <right/>
      <top/>
      <bottom/>
      <diagonal/>
    </border>
    <border>
      <left style="thick">
        <color rgb="001668AD"/>
      </left>
      <top style="thin">
        <color rgb="00D8E0EA"/>
      </top>
      <bottom style="thin">
        <color rgb="00D8E0EA"/>
      </bottom>
    </border>
    <border>
      <top style="thin">
        <color rgb="00D8E0EA"/>
      </top>
      <bottom style="thin">
        <color rgb="00D8E0EA"/>
      </bottom>
    </border>
    <border>
      <left style="thin">
        <color rgb="00D8E0EA"/>
      </left>
      <right style="thin">
        <color rgb="00D8E0EA"/>
      </right>
      <top style="thin">
        <color rgb="00D8E0EA"/>
      </top>
      <bottom style="thin">
        <color rgb="00D8E0E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1" pivotButton="0" quotePrefix="0" xfId="0"/>
    <xf numFmtId="0" fontId="0" fillId="4" borderId="2" pivotButton="0" quotePrefix="0" xfId="0"/>
    <xf numFmtId="0" fontId="4" fillId="4" borderId="1" pivotButton="0" quotePrefix="0" xfId="0"/>
    <xf numFmtId="10" fontId="4" fillId="4" borderId="1" pivotButton="0" quotePrefix="0" xfId="0"/>
    <xf numFmtId="164" fontId="4" fillId="4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8" fillId="2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top"/>
    </xf>
    <xf numFmtId="1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0" fontId="0" fillId="0" borderId="3" applyAlignment="1" pivotButton="0" quotePrefix="0" xfId="0">
      <alignment vertical="top" wrapText="1"/>
    </xf>
    <xf numFmtId="0" fontId="9" fillId="0" borderId="3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165" fontId="0" fillId="6" borderId="3" pivotButton="0" quotePrefix="0" xfId="0"/>
    <xf numFmtId="0" fontId="0" fillId="6" borderId="3" pivotButton="0" quotePrefix="0" xfId="0"/>
    <xf numFmtId="0" fontId="0" fillId="0" borderId="3" pivotButton="0" quotePrefix="0" xfId="0"/>
    <xf numFmtId="10" fontId="0" fillId="0" borderId="3" pivotButton="0" quotePrefix="0" xfId="0"/>
    <xf numFmtId="166" fontId="0" fillId="0" borderId="3" pivotButton="0" quotePrefix="0" xfId="0"/>
    <xf numFmtId="165" fontId="0" fillId="0" borderId="3" pivotButton="0" quotePrefix="0" xfId="0"/>
    <xf numFmtId="0" fontId="12" fillId="0" borderId="0" pivotButton="0" quotePrefix="0" xfId="0"/>
    <xf numFmtId="167" fontId="0" fillId="0" borderId="3" pivotButton="0" quotePrefix="0" xfId="0"/>
    <xf numFmtId="0" fontId="0" fillId="0" borderId="3" applyAlignment="1" pivotButton="0" quotePrefix="0" xfId="0">
      <alignment vertical="top"/>
    </xf>
    <xf numFmtId="0" fontId="9" fillId="0" borderId="3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F7B53"/>
      </font>
      <fill>
        <patternFill patternType="solid">
          <fgColor rgb="00DFF3E7"/>
        </patternFill>
      </fill>
    </dxf>
    <dxf>
      <font>
        <b val="1"/>
        <color rgb="00C8102E"/>
      </font>
      <fill>
        <patternFill patternType="solid">
          <fgColor rgb="00FBE3E6"/>
        </patternFill>
      </fill>
    </dxf>
    <dxf>
      <font>
        <b val="1"/>
        <color rgb="000F7B53"/>
      </font>
    </dxf>
    <dxf>
      <fill>
        <patternFill patternType="solid">
          <fgColor rgb="00F7F9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TREA por entidad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'RANKING'!D4</f>
            </strRef>
          </tx>
          <spPr>
            <a:ln>
              <a:prstDash val="solid"/>
            </a:ln>
          </spPr>
          <cat>
            <numRef>
              <f>'RANKING'!$B$5:$B$20</f>
            </numRef>
          </cat>
          <val>
            <numRef>
              <f>'RANKING'!$D$5:$D$20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Interes estimado del periodo por entidad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'SIMULADOR'!F9</f>
            </strRef>
          </tx>
          <spPr>
            <a:ln>
              <a:prstDash val="solid"/>
            </a:ln>
          </spPr>
          <cat>
            <numRef>
              <f>'SIMULADOR'!$B$10:$B$25</f>
            </numRef>
          </cat>
          <val>
            <numRef>
              <f>'SIMULADOR'!$F$10:$F$25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Tasa de referencia del BCRP</a:t>
            </a:r>
          </a:p>
        </rich>
      </tx>
    </title>
    <plotArea>
      <lineChart>
        <grouping val="standard"/>
        <ser>
          <idx val="0"/>
          <order val="0"/>
          <tx>
            <strRef>
              <f>'TASA BCRP'!B4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'TASA BCRP'!$A$5:$A$40</f>
            </numRef>
          </cat>
          <val>
            <numRef>
              <f>'TASA BCRP'!$B$5:$B$40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8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cotiabank.com.pe/Personas/Ahorros/Cuentas-Bancarias/cuenta-digital" TargetMode="External" Id="rId1" /><Relationship Type="http://schemas.openxmlformats.org/officeDocument/2006/relationships/hyperlink" Target="https://www.surgir.com.pe/cuenta-gold-select" TargetMode="External" Id="rId2" /><Relationship Type="http://schemas.openxmlformats.org/officeDocument/2006/relationships/hyperlink" Target="https://www.qapaq.pe/" TargetMode="External" Id="rId3" /><Relationship Type="http://schemas.openxmlformats.org/officeDocument/2006/relationships/hyperlink" Target="https://confianza.pe/" TargetMode="External" Id="rId4" /><Relationship Type="http://schemas.openxmlformats.org/officeDocument/2006/relationships/hyperlink" Target="https://www.bancofalabella.pe/cuentas/cuenta-ahorro-clasico" TargetMode="External" Id="rId5" /><Relationship Type="http://schemas.openxmlformats.org/officeDocument/2006/relationships/hyperlink" Target="https://www.santanderconsumer.com.pe/personas/ahorros/cuenta-imparable-santander" TargetMode="External" Id="rId6" /><Relationship Type="http://schemas.openxmlformats.org/officeDocument/2006/relationships/hyperlink" Target="https://www.alfinbanco.pe/ahorros/ahorrometa" TargetMode="External" Id="rId7" /><Relationship Type="http://schemas.openxmlformats.org/officeDocument/2006/relationships/hyperlink" Target="https://www.cmac-cusco.com.pe/" TargetMode="External" Id="rId8" /><Relationship Type="http://schemas.openxmlformats.org/officeDocument/2006/relationships/hyperlink" Target="https://productos.compartamos.com.pe/" TargetMode="External" Id="rId9" /><Relationship Type="http://schemas.openxmlformats.org/officeDocument/2006/relationships/hyperlink" Target="https://www.bancom.pe/personas/promociones/cuenta-ahorro" TargetMode="External" Id="rId10" /><Relationship Type="http://schemas.openxmlformats.org/officeDocument/2006/relationships/hyperlink" Target="https://www.bancoripley.com.pe/ahorros/cuenta-ahorros.html" TargetMode="External" Id="rId11" /><Relationship Type="http://schemas.openxmlformats.org/officeDocument/2006/relationships/hyperlink" Target="https://www.efectiva.com.pe/ahorros/cuenta-de-ahorros/" TargetMode="External" Id="rId12" /><Relationship Type="http://schemas.openxmlformats.org/officeDocument/2006/relationships/hyperlink" Target="https://www.bancognb.com.pe/inicio/banca-personas/cuentas/cuenta-rolando" TargetMode="External" Id="rId13" /><Relationship Type="http://schemas.openxmlformats.org/officeDocument/2006/relationships/hyperlink" Target="https://www.cajaarequipa.pe/" TargetMode="External" Id="rId14" /><Relationship Type="http://schemas.openxmlformats.org/officeDocument/2006/relationships/hyperlink" Target="https://www.cajapiura.pe/campaigns-sweepstakes/details/gana-mas-con-cuenta-light" TargetMode="External" Id="rId15" /><Relationship Type="http://schemas.openxmlformats.org/officeDocument/2006/relationships/hyperlink" Target="https://sip.pe/productos/ahorramas-soles" TargetMode="External" Id="rId16" /><Relationship Type="http://schemas.openxmlformats.org/officeDocument/2006/relationships/drawing" Target="/xl/drawings/drawing1.xml" Id="rId17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otiabank.com.pe/Personas/Ahorros/Cuentas-Bancarias/cuenta-digital" TargetMode="External" Id="rId1" /><Relationship Type="http://schemas.openxmlformats.org/officeDocument/2006/relationships/hyperlink" Target="https://www.surgir.com.pe/cuenta-gold-select" TargetMode="External" Id="rId2" /><Relationship Type="http://schemas.openxmlformats.org/officeDocument/2006/relationships/hyperlink" Target="https://www.qapaq.pe/" TargetMode="External" Id="rId3" /><Relationship Type="http://schemas.openxmlformats.org/officeDocument/2006/relationships/hyperlink" Target="https://confianza.pe/" TargetMode="External" Id="rId4" /><Relationship Type="http://schemas.openxmlformats.org/officeDocument/2006/relationships/hyperlink" Target="https://www.bancofalabella.pe/cuentas/cuenta-ahorro-clasico" TargetMode="External" Id="rId5" /><Relationship Type="http://schemas.openxmlformats.org/officeDocument/2006/relationships/hyperlink" Target="https://www.santanderconsumer.com.pe/personas/ahorros/cuenta-imparable-santander" TargetMode="External" Id="rId6" /><Relationship Type="http://schemas.openxmlformats.org/officeDocument/2006/relationships/hyperlink" Target="https://www.alfinbanco.pe/ahorros/ahorrometa" TargetMode="External" Id="rId7" /><Relationship Type="http://schemas.openxmlformats.org/officeDocument/2006/relationships/hyperlink" Target="https://www.cmac-cusco.com.pe/" TargetMode="External" Id="rId8" /><Relationship Type="http://schemas.openxmlformats.org/officeDocument/2006/relationships/hyperlink" Target="https://productos.compartamos.com.pe/" TargetMode="External" Id="rId9" /><Relationship Type="http://schemas.openxmlformats.org/officeDocument/2006/relationships/hyperlink" Target="https://www.bancom.pe/personas/promociones/cuenta-ahorro" TargetMode="External" Id="rId10" /><Relationship Type="http://schemas.openxmlformats.org/officeDocument/2006/relationships/hyperlink" Target="https://www.bancoripley.com.pe/ahorros/cuenta-ahorros.html" TargetMode="External" Id="rId11" /><Relationship Type="http://schemas.openxmlformats.org/officeDocument/2006/relationships/hyperlink" Target="https://www.efectiva.com.pe/ahorros/cuenta-de-ahorros/" TargetMode="External" Id="rId12" /><Relationship Type="http://schemas.openxmlformats.org/officeDocument/2006/relationships/hyperlink" Target="https://www.bancognb.com.pe/inicio/banca-personas/cuentas/cuenta-rolando" TargetMode="External" Id="rId13" /><Relationship Type="http://schemas.openxmlformats.org/officeDocument/2006/relationships/hyperlink" Target="https://www.cajaarequipa.pe/" TargetMode="External" Id="rId14" /><Relationship Type="http://schemas.openxmlformats.org/officeDocument/2006/relationships/hyperlink" Target="https://www.cajapiura.pe/campaigns-sweepstakes/details/gana-mas-con-cuenta-light" TargetMode="External" Id="rId15" /><Relationship Type="http://schemas.openxmlformats.org/officeDocument/2006/relationships/hyperlink" Target="https://sip.pe/productos/ahorramas-soles" TargetMode="External" Id="rId16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youtube.com/watch?v=rFvo7DurR8M" TargetMode="External" Id="rId1" /><Relationship Type="http://schemas.openxmlformats.org/officeDocument/2006/relationships/hyperlink" Target="https://fsd.org.pe/" TargetMode="External" Id="rId2" /><Relationship Type="http://schemas.openxmlformats.org/officeDocument/2006/relationships/hyperlink" Target="https://estadisticas.bcrp.gob.pe/estadisticas/series/mensuales/resultados/PD04722MM/html" TargetMode="External" Id="rId3" /><Relationship Type="http://schemas.openxmlformats.org/officeDocument/2006/relationships/hyperlink" Target="https://www.sbs.gob.pe/usuarios/aprende-con-la-sbs/compara-y-elige" TargetMode="External" Id="rId4" /><Relationship Type="http://schemas.openxmlformats.org/officeDocument/2006/relationships/hyperlink" Target="https://www.scotiabank.com.pe/Personas/Ahorros/Cuentas-Bancarias/cuenta-digital" TargetMode="External" Id="rId5" /><Relationship Type="http://schemas.openxmlformats.org/officeDocument/2006/relationships/hyperlink" Target="https://www.surgir.com.pe/tasas-y-tarifas" TargetMode="External" Id="rId6" /><Relationship Type="http://schemas.openxmlformats.org/officeDocument/2006/relationships/hyperlink" Target="https://www.qapaq.pe/wp-content/uploads/2025/04/Tarifario-ahorros-Insuperable-Abril-2025.pdf" TargetMode="External" Id="rId7" /><Relationship Type="http://schemas.openxmlformats.org/officeDocument/2006/relationships/hyperlink" Target="https://confianza.pe/docs/2026/07/T008-027%20Tarifario%20Campana%20-%20Ahorro%20Comun%20en%20Canal%20Digital.pdf" TargetMode="External" Id="rId8" /><Relationship Type="http://schemas.openxmlformats.org/officeDocument/2006/relationships/hyperlink" Target="https://www.bancofalabella.pe/promociones/detalle/tasa-preferencial-cuenta-sueldo" TargetMode="External" Id="rId9" /><Relationship Type="http://schemas.openxmlformats.org/officeDocument/2006/relationships/hyperlink" Target="https://www.santanderconsumer.com.pe/wp-content/uploads/2026/07/TERMINOS-Y-CONDICIONES-WEB-LA-JUGADA-DEL-AHORRO-1.pdf" TargetMode="External" Id="rId10" /><Relationship Type="http://schemas.openxmlformats.org/officeDocument/2006/relationships/hyperlink" Target="https://www.alfinbanco.pe/ahorros/ahorrometa" TargetMode="External" Id="rId11" /><Relationship Type="http://schemas.openxmlformats.org/officeDocument/2006/relationships/hyperlink" Target="https://www.cmac-cusco.com.pe/api/storage/file/Qo95UD7M0bMGuYblDSEeD8CMd2xkUkBoXlRGADLQ.pdf" TargetMode="External" Id="rId12" /><Relationship Type="http://schemas.openxmlformats.org/officeDocument/2006/relationships/hyperlink" Target="https://www.compartamos.com.pe/wcm/connect/a5b7bede-8d6a-4eb1-923f-084d0d3928f7/Camp_Cuenta_Wow.pdf?MOD=AJPERES" TargetMode="External" Id="rId13" /><Relationship Type="http://schemas.openxmlformats.org/officeDocument/2006/relationships/hyperlink" Target="https://www.bancom.pe/personas/promociones/cuenta-ahorro" TargetMode="External" Id="rId14" /><Relationship Type="http://schemas.openxmlformats.org/officeDocument/2006/relationships/hyperlink" Target="https://www.bancoripley.com.pe/ahorros/cuenta-ahorros.html" TargetMode="External" Id="rId15" /><Relationship Type="http://schemas.openxmlformats.org/officeDocument/2006/relationships/hyperlink" Target="https://www.efectiva.com.pe/ahorros/cuenta-de-ahorros/" TargetMode="External" Id="rId16" /><Relationship Type="http://schemas.openxmlformats.org/officeDocument/2006/relationships/hyperlink" Target="https://www.bancognb.com.pe/inicio/banca-personas/cuentas/cuenta-rolando" TargetMode="External" Id="rId17" /><Relationship Type="http://schemas.openxmlformats.org/officeDocument/2006/relationships/hyperlink" Target="https://www.cajaarequipa.pe/wp-content/uploads/2026/07/Reglamento-campana-digital-vigente-desde-24-julio-set.2026-caja-digital.pdf" TargetMode="External" Id="rId18" /><Relationship Type="http://schemas.openxmlformats.org/officeDocument/2006/relationships/hyperlink" Target="https://www.cajapiura.pe/campaigns-sweepstakes/details/gana-mas-con-cuenta-light" TargetMode="External" Id="rId19" /><Relationship Type="http://schemas.openxmlformats.org/officeDocument/2006/relationships/hyperlink" Target="https://cms.sip.pe/wp-content/documentos/ahorra-mas/Cartilla-AhorraMas-Ahorros.pdf" TargetMode="External" Id="rId20" /><Relationship Type="http://schemas.openxmlformats.org/officeDocument/2006/relationships/hyperlink" Target="https://www.youtube.com/watch?v=rFvo7DurR8M" TargetMode="External" Id="rId21" /><Relationship Type="http://schemas.openxmlformats.org/officeDocument/2006/relationships/hyperlink" Target="https://www.surgir.com.pe/cuenta-gold-select" TargetMode="External" Id="rId22" /><Relationship Type="http://schemas.openxmlformats.org/officeDocument/2006/relationships/hyperlink" Target="https://www.bancoripley.com.pe/ahorros/cuenta-ahorros.html" TargetMode="External" Id="rId23" /><Relationship Type="http://schemas.openxmlformats.org/officeDocument/2006/relationships/hyperlink" Target="https://www.cmac-cusco.com.pe/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RANKING DE CUENTAS DE AHORRO EN PERU — VERSION MEJORADA</t>
        </is>
      </c>
    </row>
    <row r="2" ht="18" customHeight="1">
      <c r="A2" s="2" t="inlineStr">
        <is>
          <t>Corte de datos: 2026-08-06   ·   Datos generados el 16/08/2026 23:16</t>
        </is>
      </c>
    </row>
    <row r="4">
      <c r="A4" s="3" t="inlineStr">
        <is>
          <t>ENTIDADES COMPARADAS</t>
        </is>
      </c>
      <c r="B4" s="4" t="n"/>
      <c r="C4" s="3" t="inlineStr">
        <is>
          <t>TREA MAS ALTA</t>
        </is>
      </c>
      <c r="D4" s="4" t="n"/>
      <c r="E4" s="3" t="inlineStr">
        <is>
          <t>TREA PROMEDIO</t>
        </is>
      </c>
      <c r="F4" s="4" t="n"/>
    </row>
    <row r="5">
      <c r="A5" s="5" t="n">
        <v>16</v>
      </c>
      <c r="B5" s="4" t="n"/>
      <c r="C5" s="6" t="n">
        <v>0.097</v>
      </c>
      <c r="D5" s="4" t="n"/>
      <c r="E5" s="6" t="n">
        <v>0.0501875</v>
      </c>
      <c r="F5" s="4" t="n"/>
    </row>
    <row r="7">
      <c r="A7" s="3" t="inlineStr">
        <is>
          <t>SIN MONTO MINIMO</t>
        </is>
      </c>
      <c r="B7" s="4" t="n"/>
      <c r="C7" s="3" t="inlineStr">
        <is>
          <t>TASA DE REFERENCIA BCRP</t>
        </is>
      </c>
      <c r="D7" s="4" t="n"/>
      <c r="E7" s="3" t="inlineStr">
        <is>
          <t>COBERTURA FSD</t>
        </is>
      </c>
      <c r="F7" s="4" t="n"/>
    </row>
    <row r="8">
      <c r="A8" s="5" t="n">
        <v>10</v>
      </c>
      <c r="B8" s="4" t="n"/>
      <c r="C8" s="6" t="n">
        <v>0.0425</v>
      </c>
      <c r="D8" s="4" t="n"/>
      <c r="E8" s="7" t="n">
        <v>122000</v>
      </c>
      <c r="F8" s="4" t="n"/>
    </row>
    <row r="9">
      <c r="A9" s="8" t="inlineStr">
        <is>
          <t>Libro generado el 16/08/2026 23:16. La fecha de tu descarga va en el nombre del archivo.</t>
        </is>
      </c>
    </row>
    <row r="11">
      <c r="A11" s="9" t="inlineStr"/>
      <c r="B11" s="10" t="inlineStr"/>
    </row>
    <row r="12">
      <c r="A12" s="11" t="inlineStr">
        <is>
          <t>Contenido del libro</t>
        </is>
      </c>
      <c r="B12" s="12" t="inlineStr"/>
      <c r="C12" s="13" t="n"/>
      <c r="D12" s="13" t="n"/>
      <c r="E12" s="13" t="n"/>
      <c r="F12" s="13" t="n"/>
    </row>
    <row r="13">
      <c r="A13" s="9" t="inlineStr">
        <is>
          <t>RANKING</t>
        </is>
      </c>
      <c r="B13" s="10" t="inlineStr">
        <is>
          <t>16 entidades ordenadas por TREA, con filtros y formato condicional.</t>
        </is>
      </c>
    </row>
    <row r="14">
      <c r="A14" s="9" t="inlineStr">
        <is>
          <t>ESCALAS DE TASA</t>
        </is>
      </c>
      <c r="B14" s="10" t="inlineStr">
        <is>
          <t>Tramos de tasa por saldo de todas las entidades, consolidados.</t>
        </is>
      </c>
    </row>
    <row r="15">
      <c r="A15" s="9" t="inlineStr">
        <is>
          <t>SIMULADOR</t>
        </is>
      </c>
      <c r="B15" s="10" t="inlineStr">
        <is>
          <t>Formulas vivas: cambia el monto y el plazo y recalcula las 16 entidades.</t>
        </is>
      </c>
    </row>
    <row r="16">
      <c r="A16" s="9" t="inlineStr">
        <is>
          <t>TASA BCRP</t>
        </is>
      </c>
      <c r="B16" s="10" t="inlineStr">
        <is>
          <t>Serie mensual de la tasa de referencia, con grafico.</t>
        </is>
      </c>
    </row>
    <row r="17">
      <c r="A17" s="9" t="inlineStr">
        <is>
          <t>FSD Y SEGURIDAD</t>
        </is>
      </c>
      <c r="B17" s="10" t="inlineStr">
        <is>
          <t>Cobertura del Fondo de Seguro de Depositos y simulador de cobertura.</t>
        </is>
      </c>
    </row>
    <row r="18">
      <c r="A18" s="9" t="inlineStr">
        <is>
          <t>FICHAS POR ENTIDAD</t>
        </is>
      </c>
      <c r="B18" s="10" t="inlineStr">
        <is>
          <t>Todos los campos de las 16 hojas individuales, en una tabla filtrable.</t>
        </is>
      </c>
    </row>
    <row r="19">
      <c r="A19" s="9" t="inlineStr">
        <is>
          <t>TARJETAS DE CREDITO</t>
        </is>
      </c>
      <c r="B19" s="10" t="inlineStr">
        <is>
          <t>Costo comparado por TCEA: aqui gana la tasa mas baja. Cifras referenciales.</t>
        </is>
      </c>
    </row>
    <row r="20">
      <c r="A20" s="9" t="inlineStr">
        <is>
          <t>ENTIDADES AUTORIZADAS</t>
        </is>
      </c>
      <c r="B20" s="10" t="inlineStr">
        <is>
          <t>Relacion de entidades autorizadas a captar depositos (miembros del FSD).</t>
        </is>
      </c>
    </row>
    <row r="21">
      <c r="A21" s="9" t="inlineStr">
        <is>
          <t>FUENTES Y NOTAS</t>
        </is>
      </c>
      <c r="B21" s="10" t="inlineStr">
        <is>
          <t>Fuentes oficiales y nivel de confianza de cada dato.</t>
        </is>
      </c>
    </row>
    <row r="22">
      <c r="A22" s="9" t="inlineStr"/>
      <c r="B22" s="10" t="inlineStr"/>
    </row>
    <row r="23">
      <c r="A23" s="11" t="inlineStr">
        <is>
          <t>Correcciones aplicadas al archivo original</t>
        </is>
      </c>
      <c r="B23" s="12" t="inlineStr"/>
      <c r="C23" s="13" t="n"/>
      <c r="D23" s="13" t="n"/>
      <c r="E23" s="13" t="n"/>
      <c r="F23" s="13" t="n"/>
    </row>
    <row r="24">
      <c r="A24" s="9" t="inlineStr">
        <is>
          <t>1</t>
        </is>
      </c>
      <c r="B24" s="10" t="inlineStr">
        <is>
          <t>Celdas numericas guardadas con formato de fecha (S/20,000 se veia como 1954-10-03).</t>
        </is>
      </c>
    </row>
    <row r="25">
      <c r="A25" s="9" t="inlineStr">
        <is>
          <t>2</t>
        </is>
      </c>
      <c r="B25" s="10" t="inlineStr">
        <is>
          <t>Formulas que devolvian #VALUE! por operar sobre esas fechas.</t>
        </is>
      </c>
    </row>
    <row r="26">
      <c r="A26" s="9" t="inlineStr">
        <is>
          <t>3</t>
        </is>
      </c>
      <c r="B26" s="10" t="inlineStr">
        <is>
          <t>Ranking transpuesto (una columna por entidad) convertido a una fila por entidad.</t>
        </is>
      </c>
    </row>
    <row r="27">
      <c r="A27" s="9" t="inlineStr">
        <is>
          <t>4</t>
        </is>
      </c>
      <c r="B27" s="10" t="inlineStr">
        <is>
          <t>Ranking sin ordenar: ahora va por TREA descendente y numerado.</t>
        </is>
      </c>
    </row>
    <row r="28">
      <c r="A28" s="9" t="inlineStr">
        <is>
          <t>5</t>
        </is>
      </c>
      <c r="B28" s="10" t="inlineStr">
        <is>
          <t>Sin autofiltro ni formato condicional: se anadieron en todas las tablas.</t>
        </is>
      </c>
    </row>
    <row r="29">
      <c r="A29" s="9" t="inlineStr">
        <is>
          <t>6</t>
        </is>
      </c>
      <c r="B29" s="10" t="inlineStr">
        <is>
          <t>Escalas de tasa dispersas en 16 hojas: consolidadas en una sola.</t>
        </is>
      </c>
    </row>
    <row r="30">
      <c r="A30" s="9" t="inlineStr"/>
      <c r="B30" s="10" t="inlineStr"/>
    </row>
    <row r="31">
      <c r="A31" s="9" t="inlineStr">
        <is>
          <t>Aviso</t>
        </is>
      </c>
      <c r="B31" s="10" t="inlineStr">
        <is>
          <t>Documento informativo. No es asesoria financiera ni recomendacion de contratacion. Verifique el contrato, la cartilla y el tarifario vigentes antes de abrir una cuenta.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9" customWidth="1" min="4" max="4"/>
    <col width="22" customWidth="1" min="5" max="5"/>
    <col width="14" customWidth="1" min="6" max="6"/>
    <col width="18" customWidth="1" min="7" max="7"/>
    <col width="46" customWidth="1" min="8" max="8"/>
    <col width="40" customWidth="1" min="9" max="9"/>
    <col width="26" customWidth="1" min="10" max="10"/>
    <col width="20" customWidth="1" min="11" max="11"/>
    <col width="26" customWidth="1" min="12" max="12"/>
    <col width="6" customWidth="1" min="13" max="13"/>
    <col width="40" customWidth="1" min="14" max="14"/>
  </cols>
  <sheetData>
    <row r="1" ht="30" customHeight="1">
      <c r="A1" s="1" t="inlineStr">
        <is>
          <t>RANKING DE CUENTAS DE AHORRO EN SOLES</t>
        </is>
      </c>
    </row>
    <row r="2" ht="18" customHeight="1">
      <c r="A2" s="2" t="inlineStr">
        <is>
          <t>Ordenado por TREA descendente. Corte: 2026-08-06. Cifras en formato numerico corregido. No constituye recomendacion financiera.   ·   Datos generados el 16/08/2026 23:16</t>
        </is>
      </c>
    </row>
    <row r="4" ht="30" customHeight="1">
      <c r="A4" s="14" t="inlineStr">
        <is>
          <t>#</t>
        </is>
      </c>
      <c r="B4" s="14" t="inlineStr">
        <is>
          <t>Entidad</t>
        </is>
      </c>
      <c r="C4" s="14" t="inlineStr">
        <is>
          <t>Producto</t>
        </is>
      </c>
      <c r="D4" s="14" t="inlineStr">
        <is>
          <t>TREA</t>
        </is>
      </c>
      <c r="E4" s="14" t="inlineStr">
        <is>
          <t>Modo de apertura</t>
        </is>
      </c>
      <c r="F4" s="14" t="inlineStr">
        <is>
          <t>Monto minimo</t>
        </is>
      </c>
      <c r="G4" s="14" t="inlineStr">
        <is>
          <t>Saldo para tasa maxima</t>
        </is>
      </c>
      <c r="H4" s="14" t="inlineStr">
        <is>
          <t>Condicion clave</t>
        </is>
      </c>
      <c r="I4" s="14" t="inlineStr">
        <is>
          <t>Vigencia / campana</t>
        </is>
      </c>
      <c r="J4" s="14" t="inlineStr">
        <is>
          <t>Estado de verificacion</t>
        </is>
      </c>
      <c r="K4" s="14" t="inlineStr">
        <is>
          <t>Calificacion SBS</t>
        </is>
      </c>
      <c r="L4" s="14" t="inlineStr">
        <is>
          <t>Grupo economico</t>
        </is>
      </c>
      <c r="M4" s="14" t="inlineStr">
        <is>
          <t>FSD</t>
        </is>
      </c>
      <c r="N4" s="14" t="inlineStr">
        <is>
          <t>URL del producto</t>
        </is>
      </c>
    </row>
    <row r="5" ht="42" customHeight="1">
      <c r="A5" s="15" t="n">
        <v>1</v>
      </c>
      <c r="B5" s="15" t="inlineStr">
        <is>
          <t>Scotiabank Perú</t>
        </is>
      </c>
      <c r="C5" s="15" t="inlineStr">
        <is>
          <t>Cuenta Digital</t>
        </is>
      </c>
      <c r="D5" s="16" t="n">
        <v>0.097</v>
      </c>
      <c r="E5" s="15" t="inlineStr">
        <is>
          <t>Digital / web</t>
        </is>
      </c>
      <c r="F5" s="17" t="n">
        <v>0</v>
      </c>
      <c r="G5" s="17" t="n">
        <v>500</v>
      </c>
      <c r="H5" s="18" t="inlineStr">
        <is>
          <t>Nuevo cliente; primera Cuenta Digital; mantener ≥ S/500. La tasa aplica solo hasta S/3,000.</t>
        </is>
      </c>
      <c r="I5" s="18" t="inlineStr">
        <is>
          <t>Aperturas del 01/08/2026 al 31/08/2026; pago promocional según campaña</t>
        </is>
      </c>
      <c r="J5" s="15" t="inlineStr">
        <is>
          <t>Verificado en web oficial</t>
        </is>
      </c>
      <c r="K5" s="15" t="inlineStr">
        <is>
          <t>A+ (mostrada en video)</t>
        </is>
      </c>
      <c r="L5" s="15" t="inlineStr">
        <is>
          <t>The Bank of Nova Scotia (BNS)</t>
        </is>
      </c>
      <c r="M5" s="15" t="inlineStr">
        <is>
          <t>Sí</t>
        </is>
      </c>
      <c r="N5" s="19" t="inlineStr">
        <is>
          <t>https://www.scotiabank.com.pe/Personas/Ahorros/Cuentas-Bancarias/cuenta-digital</t>
        </is>
      </c>
    </row>
    <row r="6" ht="42" customHeight="1">
      <c r="A6" s="15" t="n">
        <v>2</v>
      </c>
      <c r="B6" s="15" t="inlineStr">
        <is>
          <t>Financiera SURGIR</t>
        </is>
      </c>
      <c r="C6" s="15" t="inlineStr">
        <is>
          <t>Cuenta de Ahorro Gold Select</t>
        </is>
      </c>
      <c r="D6" s="16" t="n">
        <v>0.056</v>
      </c>
      <c r="E6" s="15" t="inlineStr">
        <is>
          <t>Presencial</t>
        </is>
      </c>
      <c r="F6" s="17" t="n">
        <v>20000</v>
      </c>
      <c r="G6" s="17" t="n">
        <v>20000</v>
      </c>
      <c r="H6" s="18" t="inlineStr">
        <is>
          <t>Saldo/apertura de referencia S/20,000; la web oficial consultada publica hasta 5.60% TREA.</t>
        </is>
      </c>
      <c r="I6" s="18" t="inlineStr">
        <is>
          <t>Vigente en la página oficial consultada; confirmar tarifario el día de apertura</t>
        </is>
      </c>
      <c r="J6" s="15" t="inlineStr">
        <is>
          <t>Actualizado frente al video</t>
        </is>
      </c>
      <c r="K6" s="15" t="inlineStr">
        <is>
          <t>A- (mostrada en video)</t>
        </is>
      </c>
      <c r="L6" s="15" t="inlineStr">
        <is>
          <t>Grupo Santander</t>
        </is>
      </c>
      <c r="M6" s="15" t="inlineStr">
        <is>
          <t>Sí</t>
        </is>
      </c>
      <c r="N6" s="19" t="inlineStr">
        <is>
          <t>https://www.surgir.com.pe/cuenta-gold-select</t>
        </is>
      </c>
    </row>
    <row r="7" ht="42" customHeight="1">
      <c r="A7" s="15" t="n">
        <v>3</v>
      </c>
      <c r="B7" s="15" t="inlineStr">
        <is>
          <t>Financiera QAPAQ</t>
        </is>
      </c>
      <c r="C7" s="15" t="inlineStr">
        <is>
          <t>Cuenta Insuperable</t>
        </is>
      </c>
      <c r="D7" s="16" t="n">
        <v>0.05</v>
      </c>
      <c r="E7" s="15" t="inlineStr">
        <is>
          <t>Presencial y variante digital</t>
        </is>
      </c>
      <c r="F7" s="17" t="n">
        <v>8000</v>
      </c>
      <c r="G7" s="17" t="n">
        <v>8000</v>
      </c>
      <c r="H7" s="18" t="inlineStr">
        <is>
          <t>Tasa escalonada: 3.00%, 4.00%, 5.00% y 4.00% según saldo.</t>
        </is>
      </c>
      <c r="I7" s="18" t="inlineStr">
        <is>
          <t>Tarifario oficial consultado; verificar versión vigente al contratar</t>
        </is>
      </c>
      <c r="J7" s="15" t="inlineStr">
        <is>
          <t>Verificado en tarifario oficial</t>
        </is>
      </c>
      <c r="K7" s="15" t="inlineStr">
        <is>
          <t>C+ (mostrada en video)</t>
        </is>
      </c>
      <c r="L7" s="15" t="inlineStr">
        <is>
          <t>Orca Credit Holding LLC</t>
        </is>
      </c>
      <c r="M7" s="15" t="inlineStr">
        <is>
          <t>Sí</t>
        </is>
      </c>
      <c r="N7" s="19" t="inlineStr">
        <is>
          <t>https://www.qapaq.pe/</t>
        </is>
      </c>
    </row>
    <row r="8" ht="42" customHeight="1">
      <c r="A8" s="15" t="n">
        <v>4</v>
      </c>
      <c r="B8" s="15" t="inlineStr">
        <is>
          <t>Financiera Confianza</t>
        </is>
      </c>
      <c r="C8" s="15" t="inlineStr">
        <is>
          <t>Cuenta Ahorro Común – canal digital</t>
        </is>
      </c>
      <c r="D8" s="16" t="n">
        <v>0.05</v>
      </c>
      <c r="E8" s="15" t="inlineStr">
        <is>
          <t>Digital</t>
        </is>
      </c>
      <c r="F8" s="17" t="n">
        <v>0</v>
      </c>
      <c r="G8" s="17" t="n">
        <v>10000</v>
      </c>
      <c r="H8" s="18" t="inlineStr">
        <is>
          <t>Apertura por canal digital; saldo de referencia para la tasa máxima: S/10,000.</t>
        </is>
      </c>
      <c r="I8" s="18" t="inlineStr">
        <is>
          <t>Campaña del 01/08/2026 al 31/08/2026</t>
        </is>
      </c>
      <c r="J8" s="15" t="inlineStr">
        <is>
          <t>Verificado en tarifario de campaña</t>
        </is>
      </c>
      <c r="K8" s="15" t="inlineStr">
        <is>
          <t>A- (mostrada en video)</t>
        </is>
      </c>
      <c r="L8" s="15" t="inlineStr">
        <is>
          <t>Fundación Microfinanzas BBVA</t>
        </is>
      </c>
      <c r="M8" s="15" t="inlineStr">
        <is>
          <t>Sí</t>
        </is>
      </c>
      <c r="N8" s="19" t="inlineStr">
        <is>
          <t>https://confianza.pe/</t>
        </is>
      </c>
    </row>
    <row r="9" ht="42" customHeight="1">
      <c r="A9" s="15" t="n">
        <v>5</v>
      </c>
      <c r="B9" s="15" t="inlineStr">
        <is>
          <t>Banco Falabella</t>
        </is>
      </c>
      <c r="C9" s="15" t="inlineStr">
        <is>
          <t>Cuenta Ahorro Clásico</t>
        </is>
      </c>
      <c r="D9" s="16" t="n">
        <v>0.05</v>
      </c>
      <c r="E9" s="15" t="inlineStr">
        <is>
          <t>Presencial y digital</t>
        </is>
      </c>
      <c r="F9" s="17" t="n">
        <v>0</v>
      </c>
      <c r="G9" s="17" t="n">
        <v>1500</v>
      </c>
      <c r="H9" s="18" t="inlineStr">
        <is>
          <t>Recibir remuneración ≥ S/500 en la cuenta indicada por el banco. 5% hasta S/100,000; exceso a tasa regular.</t>
        </is>
      </c>
      <c r="I9" s="18" t="inlineStr">
        <is>
          <t>Promoción Cuenta Sueldo del 01/07/2026 al 31/08/2026</t>
        </is>
      </c>
      <c r="J9" s="15" t="inlineStr">
        <is>
          <t>Verificado en web oficial</t>
        </is>
      </c>
      <c r="K9" s="15" t="inlineStr">
        <is>
          <t>A- (mostrada en video)</t>
        </is>
      </c>
      <c r="L9" s="15" t="inlineStr">
        <is>
          <t>Grupo Falabella</t>
        </is>
      </c>
      <c r="M9" s="15" t="inlineStr">
        <is>
          <t>Sí</t>
        </is>
      </c>
      <c r="N9" s="19" t="inlineStr">
        <is>
          <t>https://www.bancofalabella.pe/cuentas/cuenta-ahorro-clasico</t>
        </is>
      </c>
    </row>
    <row r="10" ht="42" customHeight="1">
      <c r="A10" s="15" t="n">
        <v>6</v>
      </c>
      <c r="B10" s="15" t="inlineStr">
        <is>
          <t>Santander Consumer Bank</t>
        </is>
      </c>
      <c r="C10" s="15" t="inlineStr">
        <is>
          <t>Cuenta Imparable</t>
        </is>
      </c>
      <c r="D10" s="16" t="n">
        <v>0.0485</v>
      </c>
      <c r="E10" s="15" t="inlineStr">
        <is>
          <t>Digital</t>
        </is>
      </c>
      <c r="F10" s="17" t="n">
        <v>500</v>
      </c>
      <c r="G10" s="17" t="n">
        <v>500</v>
      </c>
      <c r="H10" s="18" t="inlineStr">
        <is>
          <t>Apertura 100% online y saldo desde S/500.</t>
        </is>
      </c>
      <c r="I10" s="18" t="inlineStr">
        <is>
          <t>Tasa publicada en la web oficial; el video muestra vigencia hasta 31/03/2027</t>
        </is>
      </c>
      <c r="J10" s="15" t="inlineStr">
        <is>
          <t>Tasa verificada; fecha final por confirmar</t>
        </is>
      </c>
      <c r="K10" s="15" t="inlineStr">
        <is>
          <t>A- (mostrada en video)</t>
        </is>
      </c>
      <c r="L10" s="15" t="inlineStr">
        <is>
          <t>Grupo Santander</t>
        </is>
      </c>
      <c r="M10" s="15" t="inlineStr">
        <is>
          <t>Sí</t>
        </is>
      </c>
      <c r="N10" s="19" t="inlineStr">
        <is>
          <t>https://www.santanderconsumer.com.pe/personas/ahorros/cuenta-imparable-santander</t>
        </is>
      </c>
    </row>
    <row r="11" ht="42" customHeight="1">
      <c r="A11" s="15" t="n">
        <v>7</v>
      </c>
      <c r="B11" s="15" t="inlineStr">
        <is>
          <t>Banco Alfin</t>
        </is>
      </c>
      <c r="C11" s="15" t="inlineStr">
        <is>
          <t>Ahorro Meta</t>
        </is>
      </c>
      <c r="D11" s="16" t="n">
        <v>0.048</v>
      </c>
      <c r="E11" s="15" t="inlineStr">
        <is>
          <t>Digital / web</t>
        </is>
      </c>
      <c r="F11" s="17" t="n">
        <v>100</v>
      </c>
      <c r="G11" s="17" t="n">
        <v>100</v>
      </c>
      <c r="H11" s="18" t="inlineStr">
        <is>
          <t>Apertura web para 4.80%; apertura en agencia: 4.50%. Desde 16/09/2026 se aplica tasa regular publicada.</t>
        </is>
      </c>
      <c r="I11" s="18" t="inlineStr">
        <is>
          <t>Aperturas web 07/07/2026–15/08/2026; tasa promocional hasta 15/09/2026</t>
        </is>
      </c>
      <c r="J11" s="15" t="inlineStr">
        <is>
          <t>Verificado en web oficial</t>
        </is>
      </c>
      <c r="K11" s="15" t="inlineStr">
        <is>
          <t>A- (mostrada en video)</t>
        </is>
      </c>
      <c r="L11" s="15" t="inlineStr">
        <is>
          <t>Grupo Coril (mostrado en video)</t>
        </is>
      </c>
      <c r="M11" s="15" t="inlineStr">
        <is>
          <t>Sí</t>
        </is>
      </c>
      <c r="N11" s="19" t="inlineStr">
        <is>
          <t>https://www.alfinbanco.pe/ahorros/ahorrometa</t>
        </is>
      </c>
    </row>
    <row r="12" ht="42" customHeight="1">
      <c r="A12" s="15" t="n">
        <v>8</v>
      </c>
      <c r="B12" s="15" t="inlineStr">
        <is>
          <t>Caja Cusco</t>
        </is>
      </c>
      <c r="C12" s="15" t="inlineStr">
        <is>
          <t>Cuenta digital Wayki / campaña Ahorra y Gana</t>
        </is>
      </c>
      <c r="D12" s="16" t="n">
        <v>0.0475</v>
      </c>
      <c r="E12" s="15" t="inlineStr">
        <is>
          <t>Digital</t>
        </is>
      </c>
      <c r="F12" s="17" t="n">
        <v>0</v>
      </c>
      <c r="G12" s="17" t="n">
        <v>0</v>
      </c>
      <c r="H12" s="18" t="inlineStr">
        <is>
          <t>Tasa máxima reconstruida del video; condiciones exactas deben confirmarse en la campaña vigente.</t>
        </is>
      </c>
      <c r="I12" s="18" t="inlineStr">
        <is>
          <t>La tasa aparece en el video; no se localizó un TyC oficial de agosto 2026 durante la verificación</t>
        </is>
      </c>
      <c r="J12" s="15" t="inlineStr">
        <is>
          <t>Con reserva: verificar vigencia</t>
        </is>
      </c>
      <c r="K12" s="15" t="inlineStr">
        <is>
          <t>No visible en las capturas</t>
        </is>
      </c>
      <c r="L12" s="15" t="inlineStr">
        <is>
          <t>Caja Municipal de Ahorro y Crédito Cusco</t>
        </is>
      </c>
      <c r="M12" s="15" t="inlineStr">
        <is>
          <t>Sí</t>
        </is>
      </c>
      <c r="N12" s="19" t="inlineStr">
        <is>
          <t>https://www.cmac-cusco.com.pe/</t>
        </is>
      </c>
    </row>
    <row r="13" ht="42" customHeight="1">
      <c r="A13" s="15" t="n">
        <v>9</v>
      </c>
      <c r="B13" s="15" t="inlineStr">
        <is>
          <t>Compartamos Financiera</t>
        </is>
      </c>
      <c r="C13" s="15" t="inlineStr">
        <is>
          <t>Cuenta WOW</t>
        </is>
      </c>
      <c r="D13" s="16" t="n">
        <v>0.046</v>
      </c>
      <c r="E13" s="15" t="inlineStr">
        <is>
          <t>Digital o agencia</t>
        </is>
      </c>
      <c r="F13" s="17" t="n">
        <v>300</v>
      </c>
      <c r="G13" s="17" t="n">
        <v>300</v>
      </c>
      <c r="H13" s="18" t="inlineStr">
        <is>
          <t>Cuenta nueva; saldo medio de referencia S/300 para evitar mantenimiento.</t>
        </is>
      </c>
      <c r="I13" s="18" t="inlineStr">
        <is>
          <t>Campaña del 01/07/2026 al 31/08/2026</t>
        </is>
      </c>
      <c r="J13" s="15" t="inlineStr">
        <is>
          <t>Verificado en campaña oficial</t>
        </is>
      </c>
      <c r="K13" s="15" t="inlineStr">
        <is>
          <t>No visible en las capturas</t>
        </is>
      </c>
      <c r="L13" s="15" t="inlineStr">
        <is>
          <t>Gentera</t>
        </is>
      </c>
      <c r="M13" s="15" t="inlineStr">
        <is>
          <t>Sí</t>
        </is>
      </c>
      <c r="N13" s="19" t="inlineStr">
        <is>
          <t>https://productos.compartamos.com.pe/</t>
        </is>
      </c>
    </row>
    <row r="14" ht="42" customHeight="1">
      <c r="A14" s="15" t="n">
        <v>10</v>
      </c>
      <c r="B14" s="15" t="inlineStr">
        <is>
          <t>Banco de Comercio</t>
        </is>
      </c>
      <c r="C14" s="15" t="inlineStr">
        <is>
          <t>Cuenta de Ahorros Soles – promoción digital</t>
        </is>
      </c>
      <c r="D14" s="16" t="n">
        <v>0.045</v>
      </c>
      <c r="E14" s="15" t="inlineStr">
        <is>
          <t>Digital</t>
        </is>
      </c>
      <c r="F14" s="17" t="n">
        <v>0</v>
      </c>
      <c r="G14" s="17" t="n">
        <v>0</v>
      </c>
      <c r="H14" s="18" t="inlineStr">
        <is>
          <t>La tasa depende del rango/condición definida en la campaña; revisar TyC antes de depositar.</t>
        </is>
      </c>
      <c r="I14" s="18" t="inlineStr">
        <is>
          <t>Tasas de campaña 3.50% y 4.50% hasta el 31/12/2026</t>
        </is>
      </c>
      <c r="J14" s="15" t="inlineStr">
        <is>
          <t>Tasa y vigencia verificadas; rango por confirmar</t>
        </is>
      </c>
      <c r="K14" s="15" t="inlineStr">
        <is>
          <t>No visible en las capturas</t>
        </is>
      </c>
      <c r="L14" s="15" t="inlineStr">
        <is>
          <t>Banco de Comercio</t>
        </is>
      </c>
      <c r="M14" s="15" t="inlineStr">
        <is>
          <t>Sí</t>
        </is>
      </c>
      <c r="N14" s="19" t="inlineStr">
        <is>
          <t>https://www.bancom.pe/personas/promociones/cuenta-ahorro</t>
        </is>
      </c>
    </row>
    <row r="15" ht="42" customHeight="1">
      <c r="A15" s="15" t="n">
        <v>11</v>
      </c>
      <c r="B15" s="15" t="inlineStr">
        <is>
          <t>Banco Ripley</t>
        </is>
      </c>
      <c r="C15" s="15" t="inlineStr">
        <is>
          <t>Cuenta Ahorro Plus</t>
        </is>
      </c>
      <c r="D15" s="16" t="n">
        <v>0.045</v>
      </c>
      <c r="E15" s="15" t="inlineStr">
        <is>
          <t>Presencial y digital</t>
        </is>
      </c>
      <c r="F15" s="17" t="n">
        <v>0</v>
      </c>
      <c r="G15" s="17" t="n">
        <v>500</v>
      </c>
      <c r="H15" s="18" t="inlineStr">
        <is>
          <t>La página conserva un ejemplo a 4.50%, pero advierte que desde agosto aplica el tarifario vigente.</t>
        </is>
      </c>
      <c r="I15" s="18" t="inlineStr">
        <is>
          <t>La campaña indicada terminó el 31/07/2026; desde 01/08 rige el tarifario vigente</t>
        </is>
      </c>
      <c r="J15" s="15" t="inlineStr">
        <is>
          <t>Verificar antes de abrir</t>
        </is>
      </c>
      <c r="K15" s="15" t="inlineStr">
        <is>
          <t>B+ (mostrada en video)</t>
        </is>
      </c>
      <c r="L15" s="15" t="inlineStr">
        <is>
          <t>Banco Ripley</t>
        </is>
      </c>
      <c r="M15" s="15" t="inlineStr">
        <is>
          <t>Sí</t>
        </is>
      </c>
      <c r="N15" s="19" t="inlineStr">
        <is>
          <t>https://www.bancoripley.com.pe/ahorros/cuenta-ahorros.html</t>
        </is>
      </c>
    </row>
    <row r="16" ht="42" customHeight="1">
      <c r="A16" s="15" t="n">
        <v>12</v>
      </c>
      <c r="B16" s="15" t="inlineStr">
        <is>
          <t>Financiera Efectiva (Efectibank)</t>
        </is>
      </c>
      <c r="C16" s="15" t="inlineStr">
        <is>
          <t>Cuenta de Ahorro Digital</t>
        </is>
      </c>
      <c r="D16" s="16" t="n">
        <v>0.045</v>
      </c>
      <c r="E16" s="15" t="inlineStr">
        <is>
          <t>Digital</t>
        </is>
      </c>
      <c r="F16" s="17" t="n">
        <v>0</v>
      </c>
      <c r="G16" s="17" t="n">
        <v>0</v>
      </c>
      <c r="H16" s="18" t="inlineStr">
        <is>
          <t>Interés desde el primer sol; sin monto mínimo de apertura.</t>
        </is>
      </c>
      <c r="I16" s="18" t="inlineStr">
        <is>
          <t>Vigente según página oficial consultada</t>
        </is>
      </c>
      <c r="J16" s="15" t="inlineStr">
        <is>
          <t>Verificado en web oficial</t>
        </is>
      </c>
      <c r="K16" s="15" t="inlineStr">
        <is>
          <t>A- (mostrada en video)</t>
        </is>
      </c>
      <c r="L16" s="15" t="inlineStr">
        <is>
          <t>Grupo EFE</t>
        </is>
      </c>
      <c r="M16" s="15" t="inlineStr">
        <is>
          <t>Sí</t>
        </is>
      </c>
      <c r="N16" s="19" t="inlineStr">
        <is>
          <t>https://www.efectiva.com.pe/ahorros/cuenta-de-ahorros/</t>
        </is>
      </c>
    </row>
    <row r="17" ht="42" customHeight="1">
      <c r="A17" s="15" t="n">
        <v>13</v>
      </c>
      <c r="B17" s="15" t="inlineStr">
        <is>
          <t>Banco GNB Perú</t>
        </is>
      </c>
      <c r="C17" s="15" t="inlineStr">
        <is>
          <t>Cuenta Ahorro Rolando</t>
        </is>
      </c>
      <c r="D17" s="16" t="n">
        <v>0.045</v>
      </c>
      <c r="E17" s="15" t="inlineStr">
        <is>
          <t>Presencial y digital</t>
        </is>
      </c>
      <c r="F17" s="17" t="n">
        <v>0</v>
      </c>
      <c r="G17" s="17" t="n">
        <v>0</v>
      </c>
      <c r="H17" s="18" t="inlineStr">
        <is>
          <t>Sin monto mínimo de apertura; tasa en soles publicada para el producto.</t>
        </is>
      </c>
      <c r="I17" s="18" t="inlineStr">
        <is>
          <t>Vigente según página oficial consultada</t>
        </is>
      </c>
      <c r="J17" s="15" t="inlineStr">
        <is>
          <t>Verificado en web oficial</t>
        </is>
      </c>
      <c r="K17" s="15" t="inlineStr">
        <is>
          <t>A (mostrada en video)</t>
        </is>
      </c>
      <c r="L17" s="15" t="inlineStr">
        <is>
          <t>Grupo Financiero GNB</t>
        </is>
      </c>
      <c r="M17" s="15" t="inlineStr">
        <is>
          <t>Sí</t>
        </is>
      </c>
      <c r="N17" s="19" t="inlineStr">
        <is>
          <t>https://www.bancognb.com.pe/inicio/banca-personas/cuentas/cuenta-rolando</t>
        </is>
      </c>
    </row>
    <row r="18" ht="42" customHeight="1">
      <c r="A18" s="15" t="n">
        <v>14</v>
      </c>
      <c r="B18" s="15" t="inlineStr">
        <is>
          <t>Caja Arequipa</t>
        </is>
      </c>
      <c r="C18" s="15" t="inlineStr">
        <is>
          <t>Campaña Caja Digital</t>
        </is>
      </c>
      <c r="D18" s="16" t="n">
        <v>0.045</v>
      </c>
      <c r="E18" s="15" t="inlineStr">
        <is>
          <t>Digital</t>
        </is>
      </c>
      <c r="F18" s="17" t="n">
        <v>0</v>
      </c>
      <c r="G18" s="17" t="n">
        <v>50000</v>
      </c>
      <c r="H18" s="18" t="inlineStr">
        <is>
          <t>Tasa escalonada; 4.50% solo para saldos desde S/50,000.</t>
        </is>
      </c>
      <c r="I18" s="18" t="inlineStr">
        <is>
          <t>Aperturas 24/07/2026–03/09/2026; tasa promocional hasta 31/12/2026</t>
        </is>
      </c>
      <c r="J18" s="15" t="inlineStr">
        <is>
          <t>Verificado en reglamento oficial</t>
        </is>
      </c>
      <c r="K18" s="15" t="inlineStr">
        <is>
          <t>A- (mostrada en video)</t>
        </is>
      </c>
      <c r="L18" s="15" t="inlineStr">
        <is>
          <t>Municipalidad Provincial de Arequipa</t>
        </is>
      </c>
      <c r="M18" s="15" t="inlineStr">
        <is>
          <t>Sí</t>
        </is>
      </c>
      <c r="N18" s="19" t="inlineStr">
        <is>
          <t>https://www.cajaarequipa.pe/</t>
        </is>
      </c>
    </row>
    <row r="19" ht="42" customHeight="1">
      <c r="A19" s="15" t="n">
        <v>15</v>
      </c>
      <c r="B19" s="15" t="inlineStr">
        <is>
          <t>Caja Piura</t>
        </is>
      </c>
      <c r="C19" s="15" t="inlineStr">
        <is>
          <t>Cuenta Light – Ahorra y gana más</t>
        </is>
      </c>
      <c r="D19" s="16" t="n">
        <v>0.045</v>
      </c>
      <c r="E19" s="15" t="inlineStr">
        <is>
          <t>Presencial y digital</t>
        </is>
      </c>
      <c r="F19" s="17" t="n">
        <v>100</v>
      </c>
      <c r="G19" s="17" t="n">
        <v>50001</v>
      </c>
      <c r="H19" s="18" t="inlineStr">
        <is>
          <t>Hasta 4.50% TREA; el video muestra el umbral máximo alrededor de S/50,001. Confirmar escala oficial.</t>
        </is>
      </c>
      <c r="I19" s="18" t="inlineStr">
        <is>
          <t>Campaña del 01/08/2026 al 31/12/2026</t>
        </is>
      </c>
      <c r="J19" s="15" t="inlineStr">
        <is>
          <t>Tasa máxima verificada; umbral reconstruido</t>
        </is>
      </c>
      <c r="K19" s="15" t="inlineStr">
        <is>
          <t>B (mostrada en video)</t>
        </is>
      </c>
      <c r="L19" s="15" t="inlineStr">
        <is>
          <t>Municipalidad Provincial de Piura</t>
        </is>
      </c>
      <c r="M19" s="15" t="inlineStr">
        <is>
          <t>Sí</t>
        </is>
      </c>
      <c r="N19" s="19" t="inlineStr">
        <is>
          <t>https://www.cajapiura.pe/campaigns-sweepstakes/details/gana-mas-con-cuenta-light</t>
        </is>
      </c>
    </row>
    <row r="20" ht="42" customHeight="1">
      <c r="A20" s="15" t="n">
        <v>16</v>
      </c>
      <c r="B20" s="15" t="inlineStr">
        <is>
          <t>Financiera Oh! / SIP</t>
        </is>
      </c>
      <c r="C20" s="15" t="inlineStr">
        <is>
          <t>AhorraMás Soles</t>
        </is>
      </c>
      <c r="D20" s="16" t="n">
        <v>0.04</v>
      </c>
      <c r="E20" s="15" t="inlineStr">
        <is>
          <t>Digital (app SIP)</t>
        </is>
      </c>
      <c r="F20" s="17" t="n">
        <v>0</v>
      </c>
      <c r="G20" s="17" t="n">
        <v>0</v>
      </c>
      <c r="H20" s="18" t="inlineStr">
        <is>
          <t>Sin monto mínimo de apertura; cuenta digital.</t>
        </is>
      </c>
      <c r="I20" s="18" t="inlineStr">
        <is>
          <t>Vigente según cartilla y página oficial consultadas</t>
        </is>
      </c>
      <c r="J20" s="15" t="inlineStr">
        <is>
          <t>Verificado en fuente oficial</t>
        </is>
      </c>
      <c r="K20" s="15" t="inlineStr">
        <is>
          <t>A- (mostrada en video)</t>
        </is>
      </c>
      <c r="L20" s="15" t="inlineStr">
        <is>
          <t>Grupo Intercorp</t>
        </is>
      </c>
      <c r="M20" s="15" t="inlineStr">
        <is>
          <t>Sí</t>
        </is>
      </c>
      <c r="N20" s="19" t="inlineStr">
        <is>
          <t>https://sip.pe/productos/ahorramas-soles</t>
        </is>
      </c>
    </row>
  </sheetData>
  <autoFilter ref="A4:N20"/>
  <mergeCells count="2">
    <mergeCell ref="A2:N2"/>
    <mergeCell ref="A1:N1"/>
  </mergeCells>
  <conditionalFormatting sqref="D5:D20">
    <cfRule type="dataBar" priority="1">
      <dataBar showValue="1">
        <cfvo type="num" val="0"/>
        <cfvo type="max"/>
        <color rgb="000F7B53"/>
      </dataBar>
    </cfRule>
  </conditionalFormatting>
  <conditionalFormatting sqref="J5:J20">
    <cfRule type="cellIs" priority="2" operator="containsText" dxfId="0">
      <formula>NOT(ISERROR(SEARCH("Verificado",J5)))</formula>
    </cfRule>
    <cfRule type="cellIs" priority="3" operator="containsText" dxfId="1">
      <formula>NOT(ISERROR(SEARCH("reserva",J5)))</formula>
    </cfRule>
  </conditionalFormatting>
  <conditionalFormatting sqref="F5:F20">
    <cfRule type="cellIs" priority="4" operator="equal" dxfId="2">
      <formula>0</formula>
    </cfRule>
  </conditionalFormatting>
  <conditionalFormatting sqref="A5:N20">
    <cfRule type="cellIs" priority="5" operator="equal" dxfId="3">
      <formula>MOD(ROW(),2)=0</formula>
    </cfRule>
  </conditionalFormatting>
  <hyperlinks>
    <hyperlink xmlns:r="http://schemas.openxmlformats.org/officeDocument/2006/relationships" ref="N5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N8" r:id="rId4"/>
    <hyperlink xmlns:r="http://schemas.openxmlformats.org/officeDocument/2006/relationships" ref="N9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2" r:id="rId8"/>
    <hyperlink xmlns:r="http://schemas.openxmlformats.org/officeDocument/2006/relationships" ref="N13" r:id="rId9"/>
    <hyperlink xmlns:r="http://schemas.openxmlformats.org/officeDocument/2006/relationships" ref="N14" r:id="rId10"/>
    <hyperlink xmlns:r="http://schemas.openxmlformats.org/officeDocument/2006/relationships" ref="N15" r:id="rId11"/>
    <hyperlink xmlns:r="http://schemas.openxmlformats.org/officeDocument/2006/relationships" ref="N16" r:id="rId12"/>
    <hyperlink xmlns:r="http://schemas.openxmlformats.org/officeDocument/2006/relationships" ref="N17" r:id="rId13"/>
    <hyperlink xmlns:r="http://schemas.openxmlformats.org/officeDocument/2006/relationships" ref="N18" r:id="rId14"/>
    <hyperlink xmlns:r="http://schemas.openxmlformats.org/officeDocument/2006/relationships" ref="N19" r:id="rId15"/>
    <hyperlink xmlns:r="http://schemas.openxmlformats.org/officeDocument/2006/relationships" ref="N20" r:id="rId16"/>
  </hyperlinks>
  <pageMargins left="0.75" right="0.75" top="1" bottom="1" header="0.5" footer="0.5"/>
  <drawing xmlns:r="http://schemas.openxmlformats.org/officeDocument/2006/relationships" r:id="rId1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  <col width="46" customWidth="1" min="5" max="5"/>
  </cols>
  <sheetData>
    <row r="1" ht="30" customHeight="1">
      <c r="A1" s="1" t="inlineStr">
        <is>
          <t>ESCALAS DE TASA POR SALDO</t>
        </is>
      </c>
    </row>
    <row r="2" ht="18" customHeight="1">
      <c r="A2" s="2" t="inlineStr">
        <is>
          <t>Tramos consolidados de las 16 entidades. En el original estaban dispersos en cada hoja.   ·   Datos generados el 16/08/2026 23:16</t>
        </is>
      </c>
    </row>
    <row r="4" ht="30" customHeight="1">
      <c r="A4" s="14" t="inlineStr">
        <is>
          <t>Entidad</t>
        </is>
      </c>
      <c r="B4" s="14" t="inlineStr">
        <is>
          <t>Producto</t>
        </is>
      </c>
      <c r="C4" s="14" t="inlineStr">
        <is>
          <t>Desde saldo</t>
        </is>
      </c>
      <c r="D4" s="14" t="inlineStr">
        <is>
          <t>TREA del tramo</t>
        </is>
      </c>
      <c r="E4" s="14" t="inlineStr">
        <is>
          <t>Descripcion del tramo</t>
        </is>
      </c>
    </row>
    <row r="5">
      <c r="A5" s="15" t="inlineStr">
        <is>
          <t>Scotiabank Perú</t>
        </is>
      </c>
      <c r="B5" s="15" t="inlineStr">
        <is>
          <t>Cuenta Digital</t>
        </is>
      </c>
      <c r="C5" s="17" t="n">
        <v>0</v>
      </c>
      <c r="D5" s="16" t="n">
        <v>0</v>
      </c>
      <c r="E5" s="18" t="inlineStr">
        <is>
          <t>Saldo menor a S/500: no cumple la campaña</t>
        </is>
      </c>
    </row>
    <row r="6">
      <c r="A6" s="15" t="inlineStr">
        <is>
          <t>Scotiabank Perú</t>
        </is>
      </c>
      <c r="B6" s="15" t="inlineStr">
        <is>
          <t>Cuenta Digital</t>
        </is>
      </c>
      <c r="C6" s="17" t="n">
        <v>500</v>
      </c>
      <c r="D6" s="16" t="n">
        <v>0.097</v>
      </c>
      <c r="E6" s="18" t="inlineStr">
        <is>
          <t>Desde S/500; tasa promocional solo hasta S/3,000</t>
        </is>
      </c>
    </row>
    <row r="7">
      <c r="A7" s="15" t="inlineStr">
        <is>
          <t>Financiera SURGIR</t>
        </is>
      </c>
      <c r="B7" s="15" t="inlineStr">
        <is>
          <t>Cuenta de Ahorro Gold Select</t>
        </is>
      </c>
      <c r="C7" s="17" t="n">
        <v>0</v>
      </c>
      <c r="D7" s="16" t="n">
        <v>0</v>
      </c>
      <c r="E7" s="18" t="inlineStr">
        <is>
          <t>Por debajo del monto de referencia: consultar tasa aplicable</t>
        </is>
      </c>
    </row>
    <row r="8">
      <c r="A8" s="15" t="inlineStr">
        <is>
          <t>Financiera SURGIR</t>
        </is>
      </c>
      <c r="B8" s="15" t="inlineStr">
        <is>
          <t>Cuenta de Ahorro Gold Select</t>
        </is>
      </c>
      <c r="C8" s="17" t="n">
        <v>20000</v>
      </c>
      <c r="D8" s="16" t="n">
        <v>0.056</v>
      </c>
      <c r="E8" s="18" t="inlineStr">
        <is>
          <t>TREA máxima publicada en la web oficial</t>
        </is>
      </c>
    </row>
    <row r="9">
      <c r="A9" s="15" t="inlineStr">
        <is>
          <t>Financiera QAPAQ</t>
        </is>
      </c>
      <c r="B9" s="15" t="inlineStr">
        <is>
          <t>Cuenta Insuperable</t>
        </is>
      </c>
      <c r="C9" s="17" t="n">
        <v>0</v>
      </c>
      <c r="D9" s="16" t="n">
        <v>0.03</v>
      </c>
      <c r="E9" s="18" t="inlineStr">
        <is>
          <t>S/0 a S/3,999.99</t>
        </is>
      </c>
    </row>
    <row r="10">
      <c r="A10" s="15" t="inlineStr">
        <is>
          <t>Financiera QAPAQ</t>
        </is>
      </c>
      <c r="B10" s="15" t="inlineStr">
        <is>
          <t>Cuenta Insuperable</t>
        </is>
      </c>
      <c r="C10" s="17" t="n">
        <v>4000</v>
      </c>
      <c r="D10" s="16" t="n">
        <v>0.04</v>
      </c>
      <c r="E10" s="18" t="inlineStr">
        <is>
          <t>S/4,000 a S/7,999.99</t>
        </is>
      </c>
    </row>
    <row r="11">
      <c r="A11" s="15" t="inlineStr">
        <is>
          <t>Financiera QAPAQ</t>
        </is>
      </c>
      <c r="B11" s="15" t="inlineStr">
        <is>
          <t>Cuenta Insuperable</t>
        </is>
      </c>
      <c r="C11" s="17" t="n">
        <v>8000</v>
      </c>
      <c r="D11" s="16" t="n">
        <v>0.05</v>
      </c>
      <c r="E11" s="18" t="inlineStr">
        <is>
          <t>S/8,000 a S/499,999.99</t>
        </is>
      </c>
    </row>
    <row r="12">
      <c r="A12" s="15" t="inlineStr">
        <is>
          <t>Financiera QAPAQ</t>
        </is>
      </c>
      <c r="B12" s="15" t="inlineStr">
        <is>
          <t>Cuenta Insuperable</t>
        </is>
      </c>
      <c r="C12" s="17" t="n">
        <v>500000</v>
      </c>
      <c r="D12" s="16" t="n">
        <v>0.04</v>
      </c>
      <c r="E12" s="18" t="inlineStr">
        <is>
          <t>Desde S/500,000</t>
        </is>
      </c>
    </row>
    <row r="13">
      <c r="A13" s="15" t="inlineStr">
        <is>
          <t>Financiera Confianza</t>
        </is>
      </c>
      <c r="B13" s="15" t="inlineStr">
        <is>
          <t>Cuenta Ahorro Común – canal digital</t>
        </is>
      </c>
      <c r="C13" s="17" t="n">
        <v>0</v>
      </c>
      <c r="D13" s="16" t="n">
        <v>0</v>
      </c>
      <c r="E13" s="18" t="inlineStr">
        <is>
          <t>Consultar tasa del rango inferior</t>
        </is>
      </c>
    </row>
    <row r="14">
      <c r="A14" s="15" t="inlineStr">
        <is>
          <t>Financiera Confianza</t>
        </is>
      </c>
      <c r="B14" s="15" t="inlineStr">
        <is>
          <t>Cuenta Ahorro Común – canal digital</t>
        </is>
      </c>
      <c r="C14" s="17" t="n">
        <v>10000</v>
      </c>
      <c r="D14" s="16" t="n">
        <v>0.05</v>
      </c>
      <c r="E14" s="18" t="inlineStr">
        <is>
          <t>Tasa máxima de campaña mostrada en el video/tarifario</t>
        </is>
      </c>
    </row>
    <row r="15">
      <c r="A15" s="15" t="inlineStr">
        <is>
          <t>Banco Falabella</t>
        </is>
      </c>
      <c r="B15" s="15" t="inlineStr">
        <is>
          <t>Cuenta Ahorro Clásico</t>
        </is>
      </c>
      <c r="C15" s="17" t="n">
        <v>0</v>
      </c>
      <c r="D15" s="16" t="n">
        <v>0.0375</v>
      </c>
      <c r="E15" s="18" t="inlineStr">
        <is>
          <t>Tasa regular publicada</t>
        </is>
      </c>
    </row>
    <row r="16">
      <c r="A16" s="15" t="inlineStr">
        <is>
          <t>Banco Falabella</t>
        </is>
      </c>
      <c r="B16" s="15" t="inlineStr">
        <is>
          <t>Cuenta Ahorro Clásico</t>
        </is>
      </c>
      <c r="C16" s="17" t="n">
        <v>0</v>
      </c>
      <c r="D16" s="16" t="n">
        <v>0.05</v>
      </c>
      <c r="E16" s="18" t="inlineStr">
        <is>
          <t>Con abono de remuneración ≥ S/500; hasta S/100,000</t>
        </is>
      </c>
    </row>
    <row r="17">
      <c r="A17" s="15" t="inlineStr">
        <is>
          <t>Santander Consumer Bank</t>
        </is>
      </c>
      <c r="B17" s="15" t="inlineStr">
        <is>
          <t>Cuenta Imparable</t>
        </is>
      </c>
      <c r="C17" s="17" t="n">
        <v>0</v>
      </c>
      <c r="D17" s="16" t="n">
        <v>0</v>
      </c>
      <c r="E17" s="18" t="inlineStr">
        <is>
          <t>Por debajo de S/500: no cumple condición publicada</t>
        </is>
      </c>
    </row>
    <row r="18">
      <c r="A18" s="15" t="inlineStr">
        <is>
          <t>Santander Consumer Bank</t>
        </is>
      </c>
      <c r="B18" s="15" t="inlineStr">
        <is>
          <t>Cuenta Imparable</t>
        </is>
      </c>
      <c r="C18" s="17" t="n">
        <v>500</v>
      </c>
      <c r="D18" s="16" t="n">
        <v>0.0485</v>
      </c>
      <c r="E18" s="18" t="inlineStr">
        <is>
          <t>Desde S/500</t>
        </is>
      </c>
    </row>
    <row r="19">
      <c r="A19" s="15" t="inlineStr">
        <is>
          <t>Banco Alfin</t>
        </is>
      </c>
      <c r="B19" s="15" t="inlineStr">
        <is>
          <t>Ahorro Meta</t>
        </is>
      </c>
      <c r="C19" s="17" t="n">
        <v>0</v>
      </c>
      <c r="D19" s="16" t="n">
        <v>0</v>
      </c>
      <c r="E19" s="18" t="inlineStr">
        <is>
          <t>Saldo menor a S/100</t>
        </is>
      </c>
    </row>
    <row r="20">
      <c r="A20" s="15" t="inlineStr">
        <is>
          <t>Banco Alfin</t>
        </is>
      </c>
      <c r="B20" s="15" t="inlineStr">
        <is>
          <t>Ahorro Meta</t>
        </is>
      </c>
      <c r="C20" s="17" t="n">
        <v>100</v>
      </c>
      <c r="D20" s="16" t="n">
        <v>0.048</v>
      </c>
      <c r="E20" s="18" t="inlineStr">
        <is>
          <t>Apertura web</t>
        </is>
      </c>
    </row>
    <row r="21">
      <c r="A21" s="15" t="inlineStr">
        <is>
          <t>Banco Alfin</t>
        </is>
      </c>
      <c r="B21" s="15" t="inlineStr">
        <is>
          <t>Ahorro Meta</t>
        </is>
      </c>
      <c r="C21" s="17" t="n">
        <v>100</v>
      </c>
      <c r="D21" s="16" t="n">
        <v>0.045</v>
      </c>
      <c r="E21" s="18" t="inlineStr">
        <is>
          <t>Apertura en agencia</t>
        </is>
      </c>
    </row>
    <row r="22">
      <c r="A22" s="15" t="inlineStr">
        <is>
          <t>Caja Cusco</t>
        </is>
      </c>
      <c r="B22" s="15" t="inlineStr">
        <is>
          <t>Cuenta digital Wayki / campaña Ahorra y Gana</t>
        </is>
      </c>
      <c r="C22" s="17" t="n">
        <v>0</v>
      </c>
      <c r="D22" s="16" t="n">
        <v>0.0475</v>
      </c>
      <c r="E22" s="18" t="inlineStr">
        <is>
          <t>Escenario de tasa mostrada en el video; confirmar vigencia</t>
        </is>
      </c>
    </row>
    <row r="23">
      <c r="A23" s="15" t="inlineStr">
        <is>
          <t>Compartamos Financiera</t>
        </is>
      </c>
      <c r="B23" s="15" t="inlineStr">
        <is>
          <t>Cuenta WOW</t>
        </is>
      </c>
      <c r="C23" s="17" t="n">
        <v>0</v>
      </c>
      <c r="D23" s="16" t="n">
        <v>0</v>
      </c>
      <c r="E23" s="18" t="inlineStr">
        <is>
          <t>Por debajo de S/300: puede aplicar mantenimiento y/o otra tasa</t>
        </is>
      </c>
    </row>
    <row r="24">
      <c r="A24" s="15" t="inlineStr">
        <is>
          <t>Compartamos Financiera</t>
        </is>
      </c>
      <c r="B24" s="15" t="inlineStr">
        <is>
          <t>Cuenta WOW</t>
        </is>
      </c>
      <c r="C24" s="17" t="n">
        <v>300</v>
      </c>
      <c r="D24" s="16" t="n">
        <v>0.046</v>
      </c>
      <c r="E24" s="18" t="inlineStr">
        <is>
          <t>Tasa promocional máxima</t>
        </is>
      </c>
    </row>
    <row r="25">
      <c r="A25" s="15" t="inlineStr">
        <is>
          <t>Banco de Comercio</t>
        </is>
      </c>
      <c r="B25" s="15" t="inlineStr">
        <is>
          <t>Cuenta de Ahorros Soles – promoción digital</t>
        </is>
      </c>
      <c r="C25" s="17" t="n">
        <v>0</v>
      </c>
      <c r="D25" s="16" t="n">
        <v>0.045</v>
      </c>
      <c r="E25" s="18" t="inlineStr">
        <is>
          <t>Escenario de tasa máxima de campaña; verificar rango aplicable</t>
        </is>
      </c>
    </row>
    <row r="26">
      <c r="A26" s="15" t="inlineStr">
        <is>
          <t>Banco Ripley</t>
        </is>
      </c>
      <c r="B26" s="15" t="inlineStr">
        <is>
          <t>Cuenta Ahorro Plus</t>
        </is>
      </c>
      <c r="C26" s="17" t="n">
        <v>0</v>
      </c>
      <c r="D26" s="16" t="n">
        <v>0</v>
      </c>
      <c r="E26" s="18" t="inlineStr">
        <is>
          <t>Por debajo de S/500: puede aplicar mantenimiento</t>
        </is>
      </c>
    </row>
    <row r="27">
      <c r="A27" s="15" t="inlineStr">
        <is>
          <t>Banco Ripley</t>
        </is>
      </c>
      <c r="B27" s="15" t="inlineStr">
        <is>
          <t>Cuenta Ahorro Plus</t>
        </is>
      </c>
      <c r="C27" s="17" t="n">
        <v>500</v>
      </c>
      <c r="D27" s="16" t="n">
        <v>0.045</v>
      </c>
      <c r="E27" s="18" t="inlineStr">
        <is>
          <t>Ejemplo publicado; confirmar tasa vigente</t>
        </is>
      </c>
    </row>
    <row r="28">
      <c r="A28" s="15" t="inlineStr">
        <is>
          <t>Financiera Efectiva (Efectibank)</t>
        </is>
      </c>
      <c r="B28" s="15" t="inlineStr">
        <is>
          <t>Cuenta de Ahorro Digital</t>
        </is>
      </c>
      <c r="C28" s="17" t="n">
        <v>0</v>
      </c>
      <c r="D28" s="16" t="n">
        <v>0.045</v>
      </c>
      <c r="E28" s="18" t="inlineStr">
        <is>
          <t>Desde el primer sol</t>
        </is>
      </c>
    </row>
    <row r="29">
      <c r="A29" s="15" t="inlineStr">
        <is>
          <t>Banco GNB Perú</t>
        </is>
      </c>
      <c r="B29" s="15" t="inlineStr">
        <is>
          <t>Cuenta Ahorro Rolando</t>
        </is>
      </c>
      <c r="C29" s="17" t="n">
        <v>0</v>
      </c>
      <c r="D29" s="16" t="n">
        <v>0.045</v>
      </c>
      <c r="E29" s="18" t="inlineStr">
        <is>
          <t>Tasa publicada en soles</t>
        </is>
      </c>
    </row>
    <row r="30">
      <c r="A30" s="15" t="inlineStr">
        <is>
          <t>Caja Arequipa</t>
        </is>
      </c>
      <c r="B30" s="15" t="inlineStr">
        <is>
          <t>Campaña Caja Digital</t>
        </is>
      </c>
      <c r="C30" s="17" t="n">
        <v>0</v>
      </c>
      <c r="D30" s="16" t="n">
        <v>0.002</v>
      </c>
      <c r="E30" s="18" t="inlineStr">
        <is>
          <t>Hasta S/1,499.99</t>
        </is>
      </c>
    </row>
    <row r="31">
      <c r="A31" s="15" t="inlineStr">
        <is>
          <t>Caja Arequipa</t>
        </is>
      </c>
      <c r="B31" s="15" t="inlineStr">
        <is>
          <t>Campaña Caja Digital</t>
        </is>
      </c>
      <c r="C31" s="17" t="n">
        <v>1500</v>
      </c>
      <c r="D31" s="16" t="n">
        <v>0.025</v>
      </c>
      <c r="E31" s="18" t="inlineStr">
        <is>
          <t>S/1,500 a S/19,999.99</t>
        </is>
      </c>
    </row>
    <row r="32">
      <c r="A32" s="15" t="inlineStr">
        <is>
          <t>Caja Arequipa</t>
        </is>
      </c>
      <c r="B32" s="15" t="inlineStr">
        <is>
          <t>Campaña Caja Digital</t>
        </is>
      </c>
      <c r="C32" s="17" t="n">
        <v>20000</v>
      </c>
      <c r="D32" s="16" t="n">
        <v>0.035</v>
      </c>
      <c r="E32" s="18" t="inlineStr">
        <is>
          <t>S/20,000 a S/49,999.99</t>
        </is>
      </c>
    </row>
    <row r="33">
      <c r="A33" s="15" t="inlineStr">
        <is>
          <t>Caja Arequipa</t>
        </is>
      </c>
      <c r="B33" s="15" t="inlineStr">
        <is>
          <t>Campaña Caja Digital</t>
        </is>
      </c>
      <c r="C33" s="17" t="n">
        <v>50000</v>
      </c>
      <c r="D33" s="16" t="n">
        <v>0.045</v>
      </c>
      <c r="E33" s="18" t="inlineStr">
        <is>
          <t>Desde S/50,000</t>
        </is>
      </c>
    </row>
    <row r="34">
      <c r="A34" s="15" t="inlineStr">
        <is>
          <t>Caja Piura</t>
        </is>
      </c>
      <c r="B34" s="15" t="inlineStr">
        <is>
          <t>Cuenta Light – Ahorra y gana más</t>
        </is>
      </c>
      <c r="C34" s="17" t="n">
        <v>0</v>
      </c>
      <c r="D34" s="16" t="n">
        <v>0</v>
      </c>
      <c r="E34" s="18" t="inlineStr">
        <is>
          <t>Tasa del rango inferior: consultar TyC</t>
        </is>
      </c>
    </row>
    <row r="35">
      <c r="A35" s="15" t="inlineStr">
        <is>
          <t>Caja Piura</t>
        </is>
      </c>
      <c r="B35" s="15" t="inlineStr">
        <is>
          <t>Cuenta Light – Ahorra y gana más</t>
        </is>
      </c>
      <c r="C35" s="17" t="n">
        <v>50001</v>
      </c>
      <c r="D35" s="16" t="n">
        <v>0.045</v>
      </c>
      <c r="E35" s="18" t="inlineStr">
        <is>
          <t>Tasa máxima reconstruida del video</t>
        </is>
      </c>
    </row>
    <row r="36">
      <c r="A36" s="15" t="inlineStr">
        <is>
          <t>Financiera Oh! / SIP</t>
        </is>
      </c>
      <c r="B36" s="15" t="inlineStr">
        <is>
          <t>AhorraMás Soles</t>
        </is>
      </c>
      <c r="C36" s="17" t="n">
        <v>0</v>
      </c>
      <c r="D36" s="16" t="n">
        <v>0.04</v>
      </c>
      <c r="E36" s="18" t="inlineStr">
        <is>
          <t>Desde el primer sol</t>
        </is>
      </c>
    </row>
  </sheetData>
  <autoFilter ref="A4:E36"/>
  <mergeCells count="2">
    <mergeCell ref="A2:E2"/>
    <mergeCell ref="A1:E1"/>
  </mergeCells>
  <conditionalFormatting sqref="D5:D36">
    <cfRule type="colorScale" priority="1">
      <colorScale>
        <cfvo type="min"/>
        <cfvo type="max"/>
        <color rgb="00FFF4E5"/>
        <color rgb="000F7B53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22" customWidth="1" min="4" max="4"/>
    <col width="18" customWidth="1" min="5" max="5"/>
    <col width="20" customWidth="1" min="6" max="6"/>
    <col width="18" customWidth="1" min="7" max="7"/>
  </cols>
  <sheetData>
    <row r="1" ht="30" customHeight="1">
      <c r="A1" s="1" t="inlineStr">
        <is>
          <t>SIMULADOR DE INTERESES</t>
        </is>
      </c>
    </row>
    <row r="2" ht="18" customHeight="1">
      <c r="A2" s="2" t="inlineStr">
        <is>
          <t>Edita el monto (B5) y el plazo (B6). Las formulas recalculan solas. TREA efectiva anual con capitalizacion mensual.   ·   Datos generados el 16/08/2026 23:16</t>
        </is>
      </c>
    </row>
    <row r="4">
      <c r="A4" s="20" t="inlineStr">
        <is>
          <t>Parametros</t>
        </is>
      </c>
    </row>
    <row r="5">
      <c r="A5" s="21" t="inlineStr">
        <is>
          <t>Monto depositado (S/)</t>
        </is>
      </c>
      <c r="B5" s="22" t="n">
        <v>10000</v>
      </c>
    </row>
    <row r="6">
      <c r="A6" s="21" t="inlineStr">
        <is>
          <t>Plazo (meses)</t>
        </is>
      </c>
      <c r="B6" s="23" t="n">
        <v>12</v>
      </c>
    </row>
    <row r="7">
      <c r="A7" s="21" t="inlineStr">
        <is>
          <t>Aporte mensual (S/)</t>
        </is>
      </c>
      <c r="B7" s="22" t="n">
        <v>0</v>
      </c>
    </row>
    <row r="9" ht="30" customHeight="1">
      <c r="A9" s="14" t="inlineStr">
        <is>
          <t>#</t>
        </is>
      </c>
      <c r="B9" s="14" t="inlineStr">
        <is>
          <t>Entidad</t>
        </is>
      </c>
      <c r="C9" s="14" t="inlineStr">
        <is>
          <t>TREA</t>
        </is>
      </c>
      <c r="D9" s="14" t="inlineStr">
        <is>
          <t>Tasa mensual equivalente</t>
        </is>
      </c>
      <c r="E9" s="14" t="inlineStr">
        <is>
          <t>Saldo remunerado</t>
        </is>
      </c>
      <c r="F9" s="14" t="inlineStr">
        <is>
          <t>Interes del periodo</t>
        </is>
      </c>
      <c r="G9" s="14" t="inlineStr">
        <is>
          <t>Saldo final</t>
        </is>
      </c>
    </row>
    <row r="10">
      <c r="A10" s="24" t="n">
        <v>1</v>
      </c>
      <c r="B10" s="24" t="inlineStr">
        <is>
          <t>Scotiabank Perú</t>
        </is>
      </c>
      <c r="C10" s="25" t="n">
        <v>0.097</v>
      </c>
      <c r="D10" s="26">
        <f>(1+C10)^(1/12)-1</f>
        <v/>
      </c>
      <c r="E10" s="27">
        <f>MIN($B$5,3000.0)</f>
        <v/>
      </c>
      <c r="F10" s="27">
        <f>E10*D10*$B$6 + $B$7*D10*$B$6*($B$6-1)/2</f>
        <v/>
      </c>
      <c r="G10" s="27">
        <f>$B$5 + $B$7*$B$6 + F10</f>
        <v/>
      </c>
    </row>
    <row r="11">
      <c r="A11" s="24" t="n">
        <v>2</v>
      </c>
      <c r="B11" s="24" t="inlineStr">
        <is>
          <t>Financiera SURGIR</t>
        </is>
      </c>
      <c r="C11" s="25" t="n">
        <v>0.056</v>
      </c>
      <c r="D11" s="26">
        <f>(1+C11)^(1/12)-1</f>
        <v/>
      </c>
      <c r="E11" s="27">
        <f>$B$5</f>
        <v/>
      </c>
      <c r="F11" s="27">
        <f>E11*D11*$B$6 + $B$7*D11*$B$6*($B$6-1)/2</f>
        <v/>
      </c>
      <c r="G11" s="27">
        <f>$B$5 + $B$7*$B$6 + F11</f>
        <v/>
      </c>
    </row>
    <row r="12">
      <c r="A12" s="24" t="n">
        <v>3</v>
      </c>
      <c r="B12" s="24" t="inlineStr">
        <is>
          <t>Financiera QAPAQ</t>
        </is>
      </c>
      <c r="C12" s="25" t="n">
        <v>0.05</v>
      </c>
      <c r="D12" s="26">
        <f>(1+C12)^(1/12)-1</f>
        <v/>
      </c>
      <c r="E12" s="27">
        <f>$B$5</f>
        <v/>
      </c>
      <c r="F12" s="27">
        <f>E12*D12*$B$6 + $B$7*D12*$B$6*($B$6-1)/2</f>
        <v/>
      </c>
      <c r="G12" s="27">
        <f>$B$5 + $B$7*$B$6 + F12</f>
        <v/>
      </c>
    </row>
    <row r="13">
      <c r="A13" s="24" t="n">
        <v>4</v>
      </c>
      <c r="B13" s="24" t="inlineStr">
        <is>
          <t>Financiera Confianza</t>
        </is>
      </c>
      <c r="C13" s="25" t="n">
        <v>0.05</v>
      </c>
      <c r="D13" s="26">
        <f>(1+C13)^(1/12)-1</f>
        <v/>
      </c>
      <c r="E13" s="27">
        <f>$B$5</f>
        <v/>
      </c>
      <c r="F13" s="27">
        <f>E13*D13*$B$6 + $B$7*D13*$B$6*($B$6-1)/2</f>
        <v/>
      </c>
      <c r="G13" s="27">
        <f>$B$5 + $B$7*$B$6 + F13</f>
        <v/>
      </c>
    </row>
    <row r="14">
      <c r="A14" s="24" t="n">
        <v>5</v>
      </c>
      <c r="B14" s="24" t="inlineStr">
        <is>
          <t>Banco Falabella</t>
        </is>
      </c>
      <c r="C14" s="25" t="n">
        <v>0.05</v>
      </c>
      <c r="D14" s="26">
        <f>(1+C14)^(1/12)-1</f>
        <v/>
      </c>
      <c r="E14" s="27">
        <f>MIN($B$5,100000.0)</f>
        <v/>
      </c>
      <c r="F14" s="27">
        <f>E14*D14*$B$6 + $B$7*D14*$B$6*($B$6-1)/2</f>
        <v/>
      </c>
      <c r="G14" s="27">
        <f>$B$5 + $B$7*$B$6 + F14</f>
        <v/>
      </c>
    </row>
    <row r="15">
      <c r="A15" s="24" t="n">
        <v>6</v>
      </c>
      <c r="B15" s="24" t="inlineStr">
        <is>
          <t>Santander Consumer Bank</t>
        </is>
      </c>
      <c r="C15" s="25" t="n">
        <v>0.0485</v>
      </c>
      <c r="D15" s="26">
        <f>(1+C15)^(1/12)-1</f>
        <v/>
      </c>
      <c r="E15" s="27">
        <f>$B$5</f>
        <v/>
      </c>
      <c r="F15" s="27">
        <f>E15*D15*$B$6 + $B$7*D15*$B$6*($B$6-1)/2</f>
        <v/>
      </c>
      <c r="G15" s="27">
        <f>$B$5 + $B$7*$B$6 + F15</f>
        <v/>
      </c>
    </row>
    <row r="16">
      <c r="A16" s="24" t="n">
        <v>7</v>
      </c>
      <c r="B16" s="24" t="inlineStr">
        <is>
          <t>Banco Alfin</t>
        </is>
      </c>
      <c r="C16" s="25" t="n">
        <v>0.048</v>
      </c>
      <c r="D16" s="26">
        <f>(1+C16)^(1/12)-1</f>
        <v/>
      </c>
      <c r="E16" s="27">
        <f>$B$5</f>
        <v/>
      </c>
      <c r="F16" s="27">
        <f>E16*D16*$B$6 + $B$7*D16*$B$6*($B$6-1)/2</f>
        <v/>
      </c>
      <c r="G16" s="27">
        <f>$B$5 + $B$7*$B$6 + F16</f>
        <v/>
      </c>
    </row>
    <row r="17">
      <c r="A17" s="24" t="n">
        <v>8</v>
      </c>
      <c r="B17" s="24" t="inlineStr">
        <is>
          <t>Caja Cusco</t>
        </is>
      </c>
      <c r="C17" s="25" t="n">
        <v>0.0475</v>
      </c>
      <c r="D17" s="26">
        <f>(1+C17)^(1/12)-1</f>
        <v/>
      </c>
      <c r="E17" s="27">
        <f>$B$5</f>
        <v/>
      </c>
      <c r="F17" s="27">
        <f>E17*D17*$B$6 + $B$7*D17*$B$6*($B$6-1)/2</f>
        <v/>
      </c>
      <c r="G17" s="27">
        <f>$B$5 + $B$7*$B$6 + F17</f>
        <v/>
      </c>
    </row>
    <row r="18">
      <c r="A18" s="24" t="n">
        <v>9</v>
      </c>
      <c r="B18" s="24" t="inlineStr">
        <is>
          <t>Compartamos Financiera</t>
        </is>
      </c>
      <c r="C18" s="25" t="n">
        <v>0.046</v>
      </c>
      <c r="D18" s="26">
        <f>(1+C18)^(1/12)-1</f>
        <v/>
      </c>
      <c r="E18" s="27">
        <f>$B$5</f>
        <v/>
      </c>
      <c r="F18" s="27">
        <f>E18*D18*$B$6 + $B$7*D18*$B$6*($B$6-1)/2</f>
        <v/>
      </c>
      <c r="G18" s="27">
        <f>$B$5 + $B$7*$B$6 + F18</f>
        <v/>
      </c>
    </row>
    <row r="19">
      <c r="A19" s="24" t="n">
        <v>10</v>
      </c>
      <c r="B19" s="24" t="inlineStr">
        <is>
          <t>Banco de Comercio</t>
        </is>
      </c>
      <c r="C19" s="25" t="n">
        <v>0.045</v>
      </c>
      <c r="D19" s="26">
        <f>(1+C19)^(1/12)-1</f>
        <v/>
      </c>
      <c r="E19" s="27">
        <f>$B$5</f>
        <v/>
      </c>
      <c r="F19" s="27">
        <f>E19*D19*$B$6 + $B$7*D19*$B$6*($B$6-1)/2</f>
        <v/>
      </c>
      <c r="G19" s="27">
        <f>$B$5 + $B$7*$B$6 + F19</f>
        <v/>
      </c>
    </row>
    <row r="20">
      <c r="A20" s="24" t="n">
        <v>11</v>
      </c>
      <c r="B20" s="24" t="inlineStr">
        <is>
          <t>Banco Ripley</t>
        </is>
      </c>
      <c r="C20" s="25" t="n">
        <v>0.045</v>
      </c>
      <c r="D20" s="26">
        <f>(1+C20)^(1/12)-1</f>
        <v/>
      </c>
      <c r="E20" s="27">
        <f>$B$5</f>
        <v/>
      </c>
      <c r="F20" s="27">
        <f>E20*D20*$B$6 + $B$7*D20*$B$6*($B$6-1)/2</f>
        <v/>
      </c>
      <c r="G20" s="27">
        <f>$B$5 + $B$7*$B$6 + F20</f>
        <v/>
      </c>
    </row>
    <row r="21">
      <c r="A21" s="24" t="n">
        <v>12</v>
      </c>
      <c r="B21" s="24" t="inlineStr">
        <is>
          <t>Financiera Efectiva (Efectibank)</t>
        </is>
      </c>
      <c r="C21" s="25" t="n">
        <v>0.045</v>
      </c>
      <c r="D21" s="26">
        <f>(1+C21)^(1/12)-1</f>
        <v/>
      </c>
      <c r="E21" s="27">
        <f>$B$5</f>
        <v/>
      </c>
      <c r="F21" s="27">
        <f>E21*D21*$B$6 + $B$7*D21*$B$6*($B$6-1)/2</f>
        <v/>
      </c>
      <c r="G21" s="27">
        <f>$B$5 + $B$7*$B$6 + F21</f>
        <v/>
      </c>
    </row>
    <row r="22">
      <c r="A22" s="24" t="n">
        <v>13</v>
      </c>
      <c r="B22" s="24" t="inlineStr">
        <is>
          <t>Banco GNB Perú</t>
        </is>
      </c>
      <c r="C22" s="25" t="n">
        <v>0.045</v>
      </c>
      <c r="D22" s="26">
        <f>(1+C22)^(1/12)-1</f>
        <v/>
      </c>
      <c r="E22" s="27">
        <f>$B$5</f>
        <v/>
      </c>
      <c r="F22" s="27">
        <f>E22*D22*$B$6 + $B$7*D22*$B$6*($B$6-1)/2</f>
        <v/>
      </c>
      <c r="G22" s="27">
        <f>$B$5 + $B$7*$B$6 + F22</f>
        <v/>
      </c>
    </row>
    <row r="23">
      <c r="A23" s="24" t="n">
        <v>14</v>
      </c>
      <c r="B23" s="24" t="inlineStr">
        <is>
          <t>Caja Arequipa</t>
        </is>
      </c>
      <c r="C23" s="25" t="n">
        <v>0.045</v>
      </c>
      <c r="D23" s="26">
        <f>(1+C23)^(1/12)-1</f>
        <v/>
      </c>
      <c r="E23" s="27">
        <f>$B$5</f>
        <v/>
      </c>
      <c r="F23" s="27">
        <f>E23*D23*$B$6 + $B$7*D23*$B$6*($B$6-1)/2</f>
        <v/>
      </c>
      <c r="G23" s="27">
        <f>$B$5 + $B$7*$B$6 + F23</f>
        <v/>
      </c>
    </row>
    <row r="24">
      <c r="A24" s="24" t="n">
        <v>15</v>
      </c>
      <c r="B24" s="24" t="inlineStr">
        <is>
          <t>Caja Piura</t>
        </is>
      </c>
      <c r="C24" s="25" t="n">
        <v>0.045</v>
      </c>
      <c r="D24" s="26">
        <f>(1+C24)^(1/12)-1</f>
        <v/>
      </c>
      <c r="E24" s="27">
        <f>$B$5</f>
        <v/>
      </c>
      <c r="F24" s="27">
        <f>E24*D24*$B$6 + $B$7*D24*$B$6*($B$6-1)/2</f>
        <v/>
      </c>
      <c r="G24" s="27">
        <f>$B$5 + $B$7*$B$6 + F24</f>
        <v/>
      </c>
    </row>
    <row r="25">
      <c r="A25" s="24" t="n">
        <v>16</v>
      </c>
      <c r="B25" s="24" t="inlineStr">
        <is>
          <t>Financiera Oh! / SIP</t>
        </is>
      </c>
      <c r="C25" s="25" t="n">
        <v>0.04</v>
      </c>
      <c r="D25" s="26">
        <f>(1+C25)^(1/12)-1</f>
        <v/>
      </c>
      <c r="E25" s="27">
        <f>$B$5</f>
        <v/>
      </c>
      <c r="F25" s="27">
        <f>E25*D25*$B$6 + $B$7*D25*$B$6*($B$6-1)/2</f>
        <v/>
      </c>
      <c r="G25" s="27">
        <f>$B$5 + $B$7*$B$6 + F25</f>
        <v/>
      </c>
    </row>
    <row r="27">
      <c r="A27" s="28" t="inlineStr">
        <is>
          <t>Simulacion referencial. No incluye ITF, retenciones, comisiones no informadas, cambios de tasa ni requisitos que el usuario no cumpla.</t>
        </is>
      </c>
    </row>
  </sheetData>
  <mergeCells count="2">
    <mergeCell ref="A2:G2"/>
    <mergeCell ref="A1:G1"/>
  </mergeCells>
  <conditionalFormatting sqref="F10:F25">
    <cfRule type="dataBar" priority="1">
      <dataBar showValue="1">
        <cfvo type="num" val="0"/>
        <cfvo type="max"/>
        <color rgb="000F7B53"/>
      </dataBar>
    </cfRule>
  </conditionalFormatting>
  <conditionalFormatting sqref="C10:C25">
    <cfRule type="colorScale" priority="2">
      <colorScale>
        <cfvo type="min"/>
        <cfvo type="max"/>
        <color rgb="00FFF4E5"/>
        <color rgb="00C6E6D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</cols>
  <sheetData>
    <row r="1" ht="30" customHeight="1">
      <c r="A1" s="1" t="inlineStr">
        <is>
          <t>TASA DE REFERENCIA DEL BCRP</t>
        </is>
      </c>
    </row>
    <row r="2" ht="18" customHeight="1">
      <c r="A2" s="2" t="inlineStr">
        <is>
          <t>Serie mensual PD04722MM. Vigente: 4.25%. Fuente: https://estadisticas.bcrp.gob.pe/estadisticas/series/mensuales/resultados/PD04722MM/html   ·   Datos generados el 16/08/2026 23:16</t>
        </is>
      </c>
    </row>
    <row r="4" ht="30" customHeight="1">
      <c r="A4" s="14" t="inlineStr">
        <is>
          <t>Mes</t>
        </is>
      </c>
      <c r="B4" s="14" t="inlineStr">
        <is>
          <t>Tasa de referencia</t>
        </is>
      </c>
      <c r="C4" s="14" t="inlineStr">
        <is>
          <t>Variacion (pp)</t>
        </is>
      </c>
    </row>
    <row r="5">
      <c r="A5" s="24" t="inlineStr">
        <is>
          <t>2023-08</t>
        </is>
      </c>
      <c r="B5" s="25" t="n">
        <v>0.0775</v>
      </c>
      <c r="C5" s="24" t="n"/>
    </row>
    <row r="6">
      <c r="A6" s="24" t="inlineStr">
        <is>
          <t>2023-09</t>
        </is>
      </c>
      <c r="B6" s="25" t="n">
        <v>0.075</v>
      </c>
      <c r="C6" s="29">
        <f>(B6-B5)*100</f>
        <v/>
      </c>
    </row>
    <row r="7">
      <c r="A7" s="24" t="inlineStr">
        <is>
          <t>2023-10</t>
        </is>
      </c>
      <c r="B7" s="25" t="n">
        <v>0.0725</v>
      </c>
      <c r="C7" s="29">
        <f>(B7-B6)*100</f>
        <v/>
      </c>
    </row>
    <row r="8">
      <c r="A8" s="24" t="inlineStr">
        <is>
          <t>2023-11</t>
        </is>
      </c>
      <c r="B8" s="25" t="n">
        <v>0.07000000000000001</v>
      </c>
      <c r="C8" s="29">
        <f>(B8-B7)*100</f>
        <v/>
      </c>
    </row>
    <row r="9">
      <c r="A9" s="24" t="inlineStr">
        <is>
          <t>2023-12</t>
        </is>
      </c>
      <c r="B9" s="25" t="n">
        <v>0.0675</v>
      </c>
      <c r="C9" s="29">
        <f>(B9-B8)*100</f>
        <v/>
      </c>
    </row>
    <row r="10">
      <c r="A10" s="24" t="inlineStr">
        <is>
          <t>2024-01</t>
        </is>
      </c>
      <c r="B10" s="25" t="n">
        <v>0.065</v>
      </c>
      <c r="C10" s="29">
        <f>(B10-B9)*100</f>
        <v/>
      </c>
    </row>
    <row r="11">
      <c r="A11" s="24" t="inlineStr">
        <is>
          <t>2024-02</t>
        </is>
      </c>
      <c r="B11" s="25" t="n">
        <v>0.0625</v>
      </c>
      <c r="C11" s="29">
        <f>(B11-B10)*100</f>
        <v/>
      </c>
    </row>
    <row r="12">
      <c r="A12" s="24" t="inlineStr">
        <is>
          <t>2024-03</t>
        </is>
      </c>
      <c r="B12" s="25" t="n">
        <v>0.0625</v>
      </c>
      <c r="C12" s="29">
        <f>(B12-B11)*100</f>
        <v/>
      </c>
    </row>
    <row r="13">
      <c r="A13" s="24" t="inlineStr">
        <is>
          <t>2024-04</t>
        </is>
      </c>
      <c r="B13" s="25" t="n">
        <v>0.06</v>
      </c>
      <c r="C13" s="29">
        <f>(B13-B12)*100</f>
        <v/>
      </c>
    </row>
    <row r="14">
      <c r="A14" s="24" t="inlineStr">
        <is>
          <t>2024-05</t>
        </is>
      </c>
      <c r="B14" s="25" t="n">
        <v>0.0575</v>
      </c>
      <c r="C14" s="29">
        <f>(B14-B13)*100</f>
        <v/>
      </c>
    </row>
    <row r="15">
      <c r="A15" s="24" t="inlineStr">
        <is>
          <t>2024-06</t>
        </is>
      </c>
      <c r="B15" s="25" t="n">
        <v>0.0575</v>
      </c>
      <c r="C15" s="29">
        <f>(B15-B14)*100</f>
        <v/>
      </c>
    </row>
    <row r="16">
      <c r="A16" s="24" t="inlineStr">
        <is>
          <t>2024-07</t>
        </is>
      </c>
      <c r="B16" s="25" t="n">
        <v>0.0575</v>
      </c>
      <c r="C16" s="29">
        <f>(B16-B15)*100</f>
        <v/>
      </c>
    </row>
    <row r="17">
      <c r="A17" s="24" t="inlineStr">
        <is>
          <t>2024-08</t>
        </is>
      </c>
      <c r="B17" s="25" t="n">
        <v>0.055</v>
      </c>
      <c r="C17" s="29">
        <f>(B17-B16)*100</f>
        <v/>
      </c>
    </row>
    <row r="18">
      <c r="A18" s="24" t="inlineStr">
        <is>
          <t>2024-09</t>
        </is>
      </c>
      <c r="B18" s="25" t="n">
        <v>0.0525</v>
      </c>
      <c r="C18" s="29">
        <f>(B18-B17)*100</f>
        <v/>
      </c>
    </row>
    <row r="19">
      <c r="A19" s="24" t="inlineStr">
        <is>
          <t>2024-10</t>
        </is>
      </c>
      <c r="B19" s="25" t="n">
        <v>0.0525</v>
      </c>
      <c r="C19" s="29">
        <f>(B19-B18)*100</f>
        <v/>
      </c>
    </row>
    <row r="20">
      <c r="A20" s="24" t="inlineStr">
        <is>
          <t>2024-11</t>
        </is>
      </c>
      <c r="B20" s="25" t="n">
        <v>0.05</v>
      </c>
      <c r="C20" s="29">
        <f>(B20-B19)*100</f>
        <v/>
      </c>
    </row>
    <row r="21">
      <c r="A21" s="24" t="inlineStr">
        <is>
          <t>2024-12</t>
        </is>
      </c>
      <c r="B21" s="25" t="n">
        <v>0.05</v>
      </c>
      <c r="C21" s="29">
        <f>(B21-B20)*100</f>
        <v/>
      </c>
    </row>
    <row r="22">
      <c r="A22" s="24" t="inlineStr">
        <is>
          <t>2025-01</t>
        </is>
      </c>
      <c r="B22" s="25" t="n">
        <v>0.0475</v>
      </c>
      <c r="C22" s="29">
        <f>(B22-B21)*100</f>
        <v/>
      </c>
    </row>
    <row r="23">
      <c r="A23" s="24" t="inlineStr">
        <is>
          <t>2025-02</t>
        </is>
      </c>
      <c r="B23" s="25" t="n">
        <v>0.0475</v>
      </c>
      <c r="C23" s="29">
        <f>(B23-B22)*100</f>
        <v/>
      </c>
    </row>
    <row r="24">
      <c r="A24" s="24" t="inlineStr">
        <is>
          <t>2025-03</t>
        </is>
      </c>
      <c r="B24" s="25" t="n">
        <v>0.0475</v>
      </c>
      <c r="C24" s="29">
        <f>(B24-B23)*100</f>
        <v/>
      </c>
    </row>
    <row r="25">
      <c r="A25" s="24" t="inlineStr">
        <is>
          <t>2025-04</t>
        </is>
      </c>
      <c r="B25" s="25" t="n">
        <v>0.0475</v>
      </c>
      <c r="C25" s="29">
        <f>(B25-B24)*100</f>
        <v/>
      </c>
    </row>
    <row r="26">
      <c r="A26" s="24" t="inlineStr">
        <is>
          <t>2025-05</t>
        </is>
      </c>
      <c r="B26" s="25" t="n">
        <v>0.045</v>
      </c>
      <c r="C26" s="29">
        <f>(B26-B25)*100</f>
        <v/>
      </c>
    </row>
    <row r="27">
      <c r="A27" s="24" t="inlineStr">
        <is>
          <t>2025-06</t>
        </is>
      </c>
      <c r="B27" s="25" t="n">
        <v>0.045</v>
      </c>
      <c r="C27" s="29">
        <f>(B27-B26)*100</f>
        <v/>
      </c>
    </row>
    <row r="28">
      <c r="A28" s="24" t="inlineStr">
        <is>
          <t>2025-07</t>
        </is>
      </c>
      <c r="B28" s="25" t="n">
        <v>0.045</v>
      </c>
      <c r="C28" s="29">
        <f>(B28-B27)*100</f>
        <v/>
      </c>
    </row>
    <row r="29">
      <c r="A29" s="24" t="inlineStr">
        <is>
          <t>2025-08</t>
        </is>
      </c>
      <c r="B29" s="25" t="n">
        <v>0.045</v>
      </c>
      <c r="C29" s="29">
        <f>(B29-B28)*100</f>
        <v/>
      </c>
    </row>
    <row r="30">
      <c r="A30" s="24" t="inlineStr">
        <is>
          <t>2025-09</t>
        </is>
      </c>
      <c r="B30" s="25" t="n">
        <v>0.0425</v>
      </c>
      <c r="C30" s="29">
        <f>(B30-B29)*100</f>
        <v/>
      </c>
    </row>
    <row r="31">
      <c r="A31" s="24" t="inlineStr">
        <is>
          <t>2025-10</t>
        </is>
      </c>
      <c r="B31" s="25" t="n">
        <v>0.0425</v>
      </c>
      <c r="C31" s="29">
        <f>(B31-B30)*100</f>
        <v/>
      </c>
    </row>
    <row r="32">
      <c r="A32" s="24" t="inlineStr">
        <is>
          <t>2025-11</t>
        </is>
      </c>
      <c r="B32" s="25" t="n">
        <v>0.0425</v>
      </c>
      <c r="C32" s="29">
        <f>(B32-B31)*100</f>
        <v/>
      </c>
    </row>
    <row r="33">
      <c r="A33" s="24" t="inlineStr">
        <is>
          <t>2025-12</t>
        </is>
      </c>
      <c r="B33" s="25" t="n">
        <v>0.0425</v>
      </c>
      <c r="C33" s="29">
        <f>(B33-B32)*100</f>
        <v/>
      </c>
    </row>
    <row r="34">
      <c r="A34" s="24" t="inlineStr">
        <is>
          <t>2026-01</t>
        </is>
      </c>
      <c r="B34" s="25" t="n">
        <v>0.0425</v>
      </c>
      <c r="C34" s="29">
        <f>(B34-B33)*100</f>
        <v/>
      </c>
    </row>
    <row r="35">
      <c r="A35" s="24" t="inlineStr">
        <is>
          <t>2026-02</t>
        </is>
      </c>
      <c r="B35" s="25" t="n">
        <v>0.0425</v>
      </c>
      <c r="C35" s="29">
        <f>(B35-B34)*100</f>
        <v/>
      </c>
    </row>
    <row r="36">
      <c r="A36" s="24" t="inlineStr">
        <is>
          <t>2026-03</t>
        </is>
      </c>
      <c r="B36" s="25" t="n">
        <v>0.0425</v>
      </c>
      <c r="C36" s="29">
        <f>(B36-B35)*100</f>
        <v/>
      </c>
    </row>
    <row r="37">
      <c r="A37" s="24" t="inlineStr">
        <is>
          <t>2026-04</t>
        </is>
      </c>
      <c r="B37" s="25" t="n">
        <v>0.0425</v>
      </c>
      <c r="C37" s="29">
        <f>(B37-B36)*100</f>
        <v/>
      </c>
    </row>
    <row r="38">
      <c r="A38" s="24" t="inlineStr">
        <is>
          <t>2026-05</t>
        </is>
      </c>
      <c r="B38" s="25" t="n">
        <v>0.0425</v>
      </c>
      <c r="C38" s="29">
        <f>(B38-B37)*100</f>
        <v/>
      </c>
    </row>
    <row r="39">
      <c r="A39" s="24" t="inlineStr">
        <is>
          <t>2026-06</t>
        </is>
      </c>
      <c r="B39" s="25" t="n">
        <v>0.0425</v>
      </c>
      <c r="C39" s="29">
        <f>(B39-B38)*100</f>
        <v/>
      </c>
    </row>
    <row r="40">
      <c r="A40" s="24" t="inlineStr">
        <is>
          <t>2026-07</t>
        </is>
      </c>
      <c r="B40" s="25" t="n">
        <v>0.0425</v>
      </c>
      <c r="C40" s="29">
        <f>(B40-B39)*100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8" customWidth="1" min="3" max="3"/>
    <col width="30" customWidth="1" min="4" max="4"/>
    <col width="46" customWidth="1" min="5" max="5"/>
  </cols>
  <sheetData>
    <row r="1" ht="30" customHeight="1">
      <c r="A1" s="1" t="inlineStr">
        <is>
          <t>FONDO DE SEGURO DE DEPOSITOS</t>
        </is>
      </c>
    </row>
    <row r="2" ht="18" customHeight="1">
      <c r="A2" s="2" t="inlineStr">
        <is>
          <t>Cobertura vigente: S/122,000 por depositante y por institucion. Fuente: https://fsd.org.pe/   ·   Datos generados el 16/08/2026 23:16</t>
        </is>
      </c>
    </row>
    <row r="4">
      <c r="A4" s="20" t="inlineStr">
        <is>
          <t>Simulador de cobertura</t>
        </is>
      </c>
    </row>
    <row r="5">
      <c r="A5" s="21" t="inlineStr">
        <is>
          <t>Tu deposito en una entidad (S/)</t>
        </is>
      </c>
      <c r="B5" s="22" t="n">
        <v>150000</v>
      </c>
    </row>
    <row r="6">
      <c r="A6" s="21" t="inlineStr">
        <is>
          <t>Limite del FSD (S/)</t>
        </is>
      </c>
      <c r="B6" s="27" t="n">
        <v>122000</v>
      </c>
    </row>
    <row r="7">
      <c r="A7" s="21" t="inlineStr">
        <is>
          <t>Monto cubierto (S/)</t>
        </is>
      </c>
      <c r="B7" s="27">
        <f>MIN(B5,B6)</f>
        <v/>
      </c>
    </row>
    <row r="8">
      <c r="A8" s="21" t="inlineStr">
        <is>
          <t>Exceso sin cobertura (S/)</t>
        </is>
      </c>
      <c r="B8" s="27">
        <f>MAX(0,B5-B6)</f>
        <v/>
      </c>
    </row>
    <row r="9">
      <c r="A9" s="21" t="inlineStr">
        <is>
          <t>Entidades necesarias</t>
        </is>
      </c>
      <c r="B9" s="24">
        <f>MAX(1,ROUNDUP(B5/B6,0))</f>
        <v/>
      </c>
    </row>
    <row r="11" ht="30" customHeight="1">
      <c r="A11" s="14" t="inlineStr">
        <is>
          <t>Entidad</t>
        </is>
      </c>
      <c r="B11" s="14" t="inlineStr">
        <is>
          <t>Producto</t>
        </is>
      </c>
      <c r="C11" s="14" t="inlineStr">
        <is>
          <t>FSD</t>
        </is>
      </c>
      <c r="D11" s="14" t="inlineStr">
        <is>
          <t>Estado de verificacion</t>
        </is>
      </c>
      <c r="E11" s="14" t="inlineStr">
        <is>
          <t>Fuente oficial</t>
        </is>
      </c>
    </row>
    <row r="12">
      <c r="A12" s="15" t="inlineStr">
        <is>
          <t>Scotiabank Perú</t>
        </is>
      </c>
      <c r="B12" s="15" t="inlineStr">
        <is>
          <t>Cuenta Digital</t>
        </is>
      </c>
      <c r="C12" s="15" t="inlineStr">
        <is>
          <t>Sí</t>
        </is>
      </c>
      <c r="D12" s="18" t="inlineStr">
        <is>
          <t>Verificado en web oficial</t>
        </is>
      </c>
      <c r="E12" s="19" t="inlineStr">
        <is>
          <t>https://www.scotiabank.com.pe/Personas/Ahorros/Cuentas-Bancarias/cuenta-digital</t>
        </is>
      </c>
    </row>
    <row r="13">
      <c r="A13" s="15" t="inlineStr">
        <is>
          <t>Financiera SURGIR</t>
        </is>
      </c>
      <c r="B13" s="15" t="inlineStr">
        <is>
          <t>Cuenta de Ahorro Gold Select</t>
        </is>
      </c>
      <c r="C13" s="15" t="inlineStr">
        <is>
          <t>Sí</t>
        </is>
      </c>
      <c r="D13" s="18" t="inlineStr">
        <is>
          <t>Actualizado frente al video</t>
        </is>
      </c>
      <c r="E13" s="19" t="inlineStr">
        <is>
          <t>https://www.surgir.com.pe/cuenta-gold-select</t>
        </is>
      </c>
    </row>
    <row r="14">
      <c r="A14" s="15" t="inlineStr">
        <is>
          <t>Financiera QAPAQ</t>
        </is>
      </c>
      <c r="B14" s="15" t="inlineStr">
        <is>
          <t>Cuenta Insuperable</t>
        </is>
      </c>
      <c r="C14" s="15" t="inlineStr">
        <is>
          <t>Sí</t>
        </is>
      </c>
      <c r="D14" s="18" t="inlineStr">
        <is>
          <t>Verificado en tarifario oficial</t>
        </is>
      </c>
      <c r="E14" s="19" t="inlineStr">
        <is>
          <t>https://www.qapaq.pe/</t>
        </is>
      </c>
    </row>
    <row r="15">
      <c r="A15" s="15" t="inlineStr">
        <is>
          <t>Financiera Confianza</t>
        </is>
      </c>
      <c r="B15" s="15" t="inlineStr">
        <is>
          <t>Cuenta Ahorro Común – canal digital</t>
        </is>
      </c>
      <c r="C15" s="15" t="inlineStr">
        <is>
          <t>Sí</t>
        </is>
      </c>
      <c r="D15" s="18" t="inlineStr">
        <is>
          <t>Verificado en tarifario de campaña</t>
        </is>
      </c>
      <c r="E15" s="19" t="inlineStr">
        <is>
          <t>https://confianza.pe/</t>
        </is>
      </c>
    </row>
    <row r="16">
      <c r="A16" s="15" t="inlineStr">
        <is>
          <t>Banco Falabella</t>
        </is>
      </c>
      <c r="B16" s="15" t="inlineStr">
        <is>
          <t>Cuenta Ahorro Clásico</t>
        </is>
      </c>
      <c r="C16" s="15" t="inlineStr">
        <is>
          <t>Sí</t>
        </is>
      </c>
      <c r="D16" s="18" t="inlineStr">
        <is>
          <t>Verificado en web oficial</t>
        </is>
      </c>
      <c r="E16" s="19" t="inlineStr">
        <is>
          <t>https://www.bancofalabella.pe/cuentas/cuenta-ahorro-clasico</t>
        </is>
      </c>
    </row>
    <row r="17">
      <c r="A17" s="15" t="inlineStr">
        <is>
          <t>Santander Consumer Bank</t>
        </is>
      </c>
      <c r="B17" s="15" t="inlineStr">
        <is>
          <t>Cuenta Imparable</t>
        </is>
      </c>
      <c r="C17" s="15" t="inlineStr">
        <is>
          <t>Sí</t>
        </is>
      </c>
      <c r="D17" s="18" t="inlineStr">
        <is>
          <t>Tasa verificada; fecha final por confirmar</t>
        </is>
      </c>
      <c r="E17" s="19" t="inlineStr">
        <is>
          <t>https://www.santanderconsumer.com.pe/personas/ahorros/cuenta-imparable-santander</t>
        </is>
      </c>
    </row>
    <row r="18">
      <c r="A18" s="15" t="inlineStr">
        <is>
          <t>Banco Alfin</t>
        </is>
      </c>
      <c r="B18" s="15" t="inlineStr">
        <is>
          <t>Ahorro Meta</t>
        </is>
      </c>
      <c r="C18" s="15" t="inlineStr">
        <is>
          <t>Sí</t>
        </is>
      </c>
      <c r="D18" s="18" t="inlineStr">
        <is>
          <t>Verificado en web oficial</t>
        </is>
      </c>
      <c r="E18" s="19" t="inlineStr">
        <is>
          <t>https://www.alfinbanco.pe/ahorros/ahorrometa</t>
        </is>
      </c>
    </row>
    <row r="19">
      <c r="A19" s="15" t="inlineStr">
        <is>
          <t>Caja Cusco</t>
        </is>
      </c>
      <c r="B19" s="15" t="inlineStr">
        <is>
          <t>Cuenta digital Wayki / campaña Ahorra y Gana</t>
        </is>
      </c>
      <c r="C19" s="15" t="inlineStr">
        <is>
          <t>Sí</t>
        </is>
      </c>
      <c r="D19" s="18" t="inlineStr">
        <is>
          <t>Con reserva: verificar vigencia</t>
        </is>
      </c>
      <c r="E19" s="19" t="inlineStr">
        <is>
          <t>https://www.cmac-cusco.com.pe/</t>
        </is>
      </c>
    </row>
    <row r="20">
      <c r="A20" s="15" t="inlineStr">
        <is>
          <t>Compartamos Financiera</t>
        </is>
      </c>
      <c r="B20" s="15" t="inlineStr">
        <is>
          <t>Cuenta WOW</t>
        </is>
      </c>
      <c r="C20" s="15" t="inlineStr">
        <is>
          <t>Sí</t>
        </is>
      </c>
      <c r="D20" s="18" t="inlineStr">
        <is>
          <t>Verificado en campaña oficial</t>
        </is>
      </c>
      <c r="E20" s="19" t="inlineStr">
        <is>
          <t>https://productos.compartamos.com.pe/</t>
        </is>
      </c>
    </row>
    <row r="21">
      <c r="A21" s="15" t="inlineStr">
        <is>
          <t>Banco de Comercio</t>
        </is>
      </c>
      <c r="B21" s="15" t="inlineStr">
        <is>
          <t>Cuenta de Ahorros Soles – promoción digital</t>
        </is>
      </c>
      <c r="C21" s="15" t="inlineStr">
        <is>
          <t>Sí</t>
        </is>
      </c>
      <c r="D21" s="18" t="inlineStr">
        <is>
          <t>Tasa y vigencia verificadas; rango por confirmar</t>
        </is>
      </c>
      <c r="E21" s="19" t="inlineStr">
        <is>
          <t>https://www.bancom.pe/personas/promociones/cuenta-ahorro</t>
        </is>
      </c>
    </row>
    <row r="22">
      <c r="A22" s="15" t="inlineStr">
        <is>
          <t>Banco Ripley</t>
        </is>
      </c>
      <c r="B22" s="15" t="inlineStr">
        <is>
          <t>Cuenta Ahorro Plus</t>
        </is>
      </c>
      <c r="C22" s="15" t="inlineStr">
        <is>
          <t>Sí</t>
        </is>
      </c>
      <c r="D22" s="18" t="inlineStr">
        <is>
          <t>Verificar antes de abrir</t>
        </is>
      </c>
      <c r="E22" s="19" t="inlineStr">
        <is>
          <t>https://www.bancoripley.com.pe/ahorros/cuenta-ahorros.html</t>
        </is>
      </c>
    </row>
    <row r="23">
      <c r="A23" s="15" t="inlineStr">
        <is>
          <t>Financiera Efectiva (Efectibank)</t>
        </is>
      </c>
      <c r="B23" s="15" t="inlineStr">
        <is>
          <t>Cuenta de Ahorro Digital</t>
        </is>
      </c>
      <c r="C23" s="15" t="inlineStr">
        <is>
          <t>Sí</t>
        </is>
      </c>
      <c r="D23" s="18" t="inlineStr">
        <is>
          <t>Verificado en web oficial</t>
        </is>
      </c>
      <c r="E23" s="19" t="inlineStr">
        <is>
          <t>https://www.efectiva.com.pe/ahorros/cuenta-de-ahorros/</t>
        </is>
      </c>
    </row>
    <row r="24">
      <c r="A24" s="15" t="inlineStr">
        <is>
          <t>Banco GNB Perú</t>
        </is>
      </c>
      <c r="B24" s="15" t="inlineStr">
        <is>
          <t>Cuenta Ahorro Rolando</t>
        </is>
      </c>
      <c r="C24" s="15" t="inlineStr">
        <is>
          <t>Sí</t>
        </is>
      </c>
      <c r="D24" s="18" t="inlineStr">
        <is>
          <t>Verificado en web oficial</t>
        </is>
      </c>
      <c r="E24" s="19" t="inlineStr">
        <is>
          <t>https://www.bancognb.com.pe/inicio/banca-personas/cuentas/cuenta-rolando</t>
        </is>
      </c>
    </row>
    <row r="25">
      <c r="A25" s="15" t="inlineStr">
        <is>
          <t>Caja Arequipa</t>
        </is>
      </c>
      <c r="B25" s="15" t="inlineStr">
        <is>
          <t>Campaña Caja Digital</t>
        </is>
      </c>
      <c r="C25" s="15" t="inlineStr">
        <is>
          <t>Sí</t>
        </is>
      </c>
      <c r="D25" s="18" t="inlineStr">
        <is>
          <t>Verificado en reglamento oficial</t>
        </is>
      </c>
      <c r="E25" s="19" t="inlineStr">
        <is>
          <t>https://www.cajaarequipa.pe/</t>
        </is>
      </c>
    </row>
    <row r="26">
      <c r="A26" s="15" t="inlineStr">
        <is>
          <t>Caja Piura</t>
        </is>
      </c>
      <c r="B26" s="15" t="inlineStr">
        <is>
          <t>Cuenta Light – Ahorra y gana más</t>
        </is>
      </c>
      <c r="C26" s="15" t="inlineStr">
        <is>
          <t>Sí</t>
        </is>
      </c>
      <c r="D26" s="18" t="inlineStr">
        <is>
          <t>Tasa máxima verificada; umbral reconstruido</t>
        </is>
      </c>
      <c r="E26" s="19" t="inlineStr">
        <is>
          <t>https://www.cajapiura.pe/campaigns-sweepstakes/details/gana-mas-con-cuenta-light</t>
        </is>
      </c>
    </row>
    <row r="27">
      <c r="A27" s="15" t="inlineStr">
        <is>
          <t>Financiera Oh! / SIP</t>
        </is>
      </c>
      <c r="B27" s="15" t="inlineStr">
        <is>
          <t>AhorraMás Soles</t>
        </is>
      </c>
      <c r="C27" s="15" t="inlineStr">
        <is>
          <t>Sí</t>
        </is>
      </c>
      <c r="D27" s="18" t="inlineStr">
        <is>
          <t>Verificado en fuente oficial</t>
        </is>
      </c>
      <c r="E27" s="19" t="inlineStr">
        <is>
          <t>https://sip.pe/productos/ahorramas-soles</t>
        </is>
      </c>
    </row>
    <row r="29">
      <c r="A29" s="28" t="inlineStr">
        <is>
          <t>Importante: la cobertura no equivale a una garantía de rentabilidad. Antes de contratar, confirme que la entidad y el producto están cubiertos, lea el contrato/cartilla y verifique si el monto depositado supera el límite por institución.</t>
        </is>
      </c>
    </row>
  </sheetData>
  <mergeCells count="2">
    <mergeCell ref="A2:E2"/>
    <mergeCell ref="A1:E1"/>
  </mergeCells>
  <hyperlinks>
    <hyperlink xmlns:r="http://schemas.openxmlformats.org/officeDocument/2006/relationships" ref="E12" r:id="rId1"/>
    <hyperlink xmlns:r="http://schemas.openxmlformats.org/officeDocument/2006/relationships" ref="E13" r:id="rId2"/>
    <hyperlink xmlns:r="http://schemas.openxmlformats.org/officeDocument/2006/relationships" ref="E14" r:id="rId3"/>
    <hyperlink xmlns:r="http://schemas.openxmlformats.org/officeDocument/2006/relationships" ref="E15" r:id="rId4"/>
    <hyperlink xmlns:r="http://schemas.openxmlformats.org/officeDocument/2006/relationships" ref="E16" r:id="rId5"/>
    <hyperlink xmlns:r="http://schemas.openxmlformats.org/officeDocument/2006/relationships" ref="E17" r:id="rId6"/>
    <hyperlink xmlns:r="http://schemas.openxmlformats.org/officeDocument/2006/relationships" ref="E18" r:id="rId7"/>
    <hyperlink xmlns:r="http://schemas.openxmlformats.org/officeDocument/2006/relationships" ref="E19" r:id="rId8"/>
    <hyperlink xmlns:r="http://schemas.openxmlformats.org/officeDocument/2006/relationships" ref="E20" r:id="rId9"/>
    <hyperlink xmlns:r="http://schemas.openxmlformats.org/officeDocument/2006/relationships" ref="E21" r:id="rId10"/>
    <hyperlink xmlns:r="http://schemas.openxmlformats.org/officeDocument/2006/relationships" ref="E22" r:id="rId11"/>
    <hyperlink xmlns:r="http://schemas.openxmlformats.org/officeDocument/2006/relationships" ref="E23" r:id="rId12"/>
    <hyperlink xmlns:r="http://schemas.openxmlformats.org/officeDocument/2006/relationships" ref="E24" r:id="rId13"/>
    <hyperlink xmlns:r="http://schemas.openxmlformats.org/officeDocument/2006/relationships" ref="E25" r:id="rId14"/>
    <hyperlink xmlns:r="http://schemas.openxmlformats.org/officeDocument/2006/relationships" ref="E26" r:id="rId15"/>
    <hyperlink xmlns:r="http://schemas.openxmlformats.org/officeDocument/2006/relationships" ref="E27" r:id="rId1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  <col width="20" customWidth="1" min="4" max="4"/>
    <col width="34" customWidth="1" min="5" max="5"/>
    <col width="40" customWidth="1" min="6" max="6"/>
    <col width="22" customWidth="1" min="7" max="7"/>
    <col width="24" customWidth="1" min="8" max="8"/>
    <col width="28" customWidth="1" min="9" max="9"/>
    <col width="30" customWidth="1" min="10" max="10"/>
    <col width="30" customWidth="1" min="11" max="11"/>
    <col width="40" customWidth="1" min="12" max="12"/>
  </cols>
  <sheetData>
    <row r="1" ht="30" customHeight="1">
      <c r="A1" s="1" t="inlineStr">
        <is>
          <t>FICHA COMPLETA POR ENTIDAD</t>
        </is>
      </c>
    </row>
    <row r="2" ht="18" customHeight="1">
      <c r="A2" s="2" t="inlineStr">
        <is>
          <t>Todos los campos de las 16 hojas individuales del original, en una sola tabla filtrable.   ·   Datos generados el 16/08/2026 23:16</t>
        </is>
      </c>
    </row>
    <row r="4" ht="30" customHeight="1">
      <c r="A4" s="14" t="inlineStr">
        <is>
          <t>Entidad</t>
        </is>
      </c>
      <c r="B4" s="14" t="inlineStr">
        <is>
          <t>Producto</t>
        </is>
      </c>
      <c r="C4" s="14" t="inlineStr">
        <is>
          <t>TREA</t>
        </is>
      </c>
      <c r="D4" s="14" t="inlineStr">
        <is>
          <t>Modo de apertura</t>
        </is>
      </c>
      <c r="E4" s="14" t="inlineStr">
        <is>
          <t>Vigencia / campana</t>
        </is>
      </c>
      <c r="F4" s="14" t="inlineStr">
        <is>
          <t>Condicion clave</t>
        </is>
      </c>
      <c r="G4" s="14" t="inlineStr">
        <is>
          <t>Abono de intereses</t>
        </is>
      </c>
      <c r="H4" s="14" t="inlineStr">
        <is>
          <t>Capitalizacion</t>
        </is>
      </c>
      <c r="I4" s="14" t="inlineStr">
        <is>
          <t>Mantenimiento</t>
        </is>
      </c>
      <c r="J4" s="14" t="inlineStr">
        <is>
          <t>Retiros / cajeros</t>
        </is>
      </c>
      <c r="K4" s="14" t="inlineStr">
        <is>
          <t>Transferencias</t>
        </is>
      </c>
      <c r="L4" s="14" t="inlineStr">
        <is>
          <t>Notas y alertas</t>
        </is>
      </c>
    </row>
    <row r="5" ht="58" customHeight="1">
      <c r="A5" s="15" t="inlineStr">
        <is>
          <t>Scotiabank Perú</t>
        </is>
      </c>
      <c r="B5" s="15" t="inlineStr">
        <is>
          <t>Cuenta Digital</t>
        </is>
      </c>
      <c r="C5" s="16" t="n">
        <v>0.097</v>
      </c>
      <c r="D5" s="18" t="inlineStr">
        <is>
          <t>Digital / web</t>
        </is>
      </c>
      <c r="E5" s="18" t="inlineStr">
        <is>
          <t>Aperturas del 01/08/2026 al 31/08/2026; pago promocional según campaña</t>
        </is>
      </c>
      <c r="F5" s="18" t="inlineStr">
        <is>
          <t>Nuevo cliente; primera Cuenta Digital; mantener ≥ S/500. La tasa aplica solo hasta S/3,000.</t>
        </is>
      </c>
      <c r="G5" s="18" t="inlineStr">
        <is>
          <t>Mensual; cronograma promocional indicado por el banco</t>
        </is>
      </c>
      <c r="H5" s="18" t="inlineStr">
        <is>
          <t>Mensual (aproximación del simulador con TREA)</t>
        </is>
      </c>
      <c r="I5" s="18" t="inlineStr">
        <is>
          <t>S/0.00</t>
        </is>
      </c>
      <c r="J5" s="18" t="inlineStr">
        <is>
          <t>Cajeros Scotiabank: sin costo; 1 retiro en ventanilla al mes sin costo</t>
        </is>
      </c>
      <c r="K5" s="18" t="inlineStr">
        <is>
          <t>Transferencias digitales/interbancarias inmediatas: sin costo, según condiciones del producto</t>
        </is>
      </c>
      <c r="L5" s="18" t="inlineStr">
        <is>
          <t>La TREA promocional no se aplica a todo el saldo: máximo remunerado S/3,000; el exceso recibe la tasa regular indicada por el banco.</t>
        </is>
      </c>
    </row>
    <row r="6" ht="58" customHeight="1">
      <c r="A6" s="15" t="inlineStr">
        <is>
          <t>Financiera SURGIR</t>
        </is>
      </c>
      <c r="B6" s="15" t="inlineStr">
        <is>
          <t>Cuenta de Ahorro Gold Select</t>
        </is>
      </c>
      <c r="C6" s="16" t="n">
        <v>0.056</v>
      </c>
      <c r="D6" s="18" t="inlineStr">
        <is>
          <t>Presencial</t>
        </is>
      </c>
      <c r="E6" s="18" t="inlineStr">
        <is>
          <t>Vigente en la página oficial consultada; confirmar tarifario el día de apertura</t>
        </is>
      </c>
      <c r="F6" s="18" t="inlineStr">
        <is>
          <t>Saldo/apertura de referencia S/20,000; la web oficial consultada publica hasta 5.60% TREA.</t>
        </is>
      </c>
      <c r="G6" s="18" t="inlineStr">
        <is>
          <t>Mensual</t>
        </is>
      </c>
      <c r="H6" s="18" t="inlineStr">
        <is>
          <t>Mensual</t>
        </is>
      </c>
      <c r="I6" s="18" t="inlineStr">
        <is>
          <t>S/0.00, según cuadro del video; validar tarifario</t>
        </is>
      </c>
      <c r="J6" s="18" t="inlineStr">
        <is>
          <t>El video muestra 2 retiros sin costo y luego comisión; validar tarifario vigente</t>
        </is>
      </c>
      <c r="K6" s="18" t="inlineStr">
        <is>
          <t>El video muestra 2 operaciones gratuitas y luego comisión; validar tarifario vigente</t>
        </is>
      </c>
      <c r="L6" s="18" t="inlineStr">
        <is>
          <t>Diferencia relevante: el video muestra 5.25%, mientras la página oficial consultada publica hasta 5.60%.</t>
        </is>
      </c>
    </row>
    <row r="7" ht="58" customHeight="1">
      <c r="A7" s="15" t="inlineStr">
        <is>
          <t>Financiera QAPAQ</t>
        </is>
      </c>
      <c r="B7" s="15" t="inlineStr">
        <is>
          <t>Cuenta Insuperable</t>
        </is>
      </c>
      <c r="C7" s="16" t="n">
        <v>0.05</v>
      </c>
      <c r="D7" s="18" t="inlineStr">
        <is>
          <t>Presencial y variante digital</t>
        </is>
      </c>
      <c r="E7" s="18" t="inlineStr">
        <is>
          <t>Tarifario oficial consultado; verificar versión vigente al contratar</t>
        </is>
      </c>
      <c r="F7" s="18" t="inlineStr">
        <is>
          <t>Tasa escalonada: 3.00%, 4.00%, 5.00% y 4.00% según saldo.</t>
        </is>
      </c>
      <c r="G7" s="18" t="inlineStr">
        <is>
          <t>Mensual</t>
        </is>
      </c>
      <c r="H7" s="18" t="inlineStr">
        <is>
          <t>Mensual</t>
        </is>
      </c>
      <c r="I7" s="18" t="inlineStr">
        <is>
          <t>S/5 si el saldo es ≤ S/1,499.99; sin costo desde S/1,500</t>
        </is>
      </c>
      <c r="J7" s="18" t="inlineStr">
        <is>
          <t>Hasta 4 retiros gratuitos al mes; luego comisión según canal</t>
        </is>
      </c>
      <c r="K7" s="18" t="inlineStr">
        <is>
          <t>Comisiones CCE según tipo de transferencia y plaza; consultar tarifario</t>
        </is>
      </c>
      <c r="L7" s="18" t="inlineStr">
        <is>
          <t>La versión digital puede no exigir monto mínimo de apertura. La tasa depende del saldo; no basta con abrir la cuenta.</t>
        </is>
      </c>
    </row>
    <row r="8" ht="58" customHeight="1">
      <c r="A8" s="15" t="inlineStr">
        <is>
          <t>Financiera Confianza</t>
        </is>
      </c>
      <c r="B8" s="15" t="inlineStr">
        <is>
          <t>Cuenta Ahorro Común – canal digital</t>
        </is>
      </c>
      <c r="C8" s="16" t="n">
        <v>0.05</v>
      </c>
      <c r="D8" s="18" t="inlineStr">
        <is>
          <t>Digital</t>
        </is>
      </c>
      <c r="E8" s="18" t="inlineStr">
        <is>
          <t>Campaña del 01/08/2026 al 31/08/2026</t>
        </is>
      </c>
      <c r="F8" s="18" t="inlineStr">
        <is>
          <t>Apertura por canal digital; saldo de referencia para la tasa máxima: S/10,000.</t>
        </is>
      </c>
      <c r="G8" s="18" t="inlineStr">
        <is>
          <t>Mensual</t>
        </is>
      </c>
      <c r="H8" s="18" t="inlineStr">
        <is>
          <t>Mensual</t>
        </is>
      </c>
      <c r="I8" s="18" t="inlineStr">
        <is>
          <t>S/0.00, según cuadro comparativo del video</t>
        </is>
      </c>
      <c r="J8" s="18" t="inlineStr">
        <is>
          <t>Cajeros de otras redes: comisión indicada en tarifario</t>
        </is>
      </c>
      <c r="K8" s="18" t="inlineStr">
        <is>
          <t>Comisiones CCE según modalidad y entidad destino; revisar tarifario</t>
        </is>
      </c>
      <c r="L8" s="18" t="inlineStr">
        <is>
          <t>La tasa promocional depende del canal digital y del rango de saldo establecido en el tarifario.</t>
        </is>
      </c>
    </row>
    <row r="9" ht="58" customHeight="1">
      <c r="A9" s="15" t="inlineStr">
        <is>
          <t>Banco Falabella</t>
        </is>
      </c>
      <c r="B9" s="15" t="inlineStr">
        <is>
          <t>Cuenta Ahorro Clásico</t>
        </is>
      </c>
      <c r="C9" s="16" t="n">
        <v>0.05</v>
      </c>
      <c r="D9" s="18" t="inlineStr">
        <is>
          <t>Presencial y digital</t>
        </is>
      </c>
      <c r="E9" s="18" t="inlineStr">
        <is>
          <t>Promoción Cuenta Sueldo del 01/07/2026 al 31/08/2026</t>
        </is>
      </c>
      <c r="F9" s="18" t="inlineStr">
        <is>
          <t>Recibir remuneración ≥ S/500 en la cuenta indicada por el banco. 5% hasta S/100,000; exceso a tasa regular.</t>
        </is>
      </c>
      <c r="G9" s="18" t="inlineStr">
        <is>
          <t>Mensual</t>
        </is>
      </c>
      <c r="H9" s="18" t="inlineStr">
        <is>
          <t>Mensual</t>
        </is>
      </c>
      <c r="I9" s="18" t="inlineStr">
        <is>
          <t>S/10 si no se cumple el saldo promedio requerido; revisar tarifario</t>
        </is>
      </c>
      <c r="J9" s="18" t="inlineStr">
        <is>
          <t>Cajeros Banco Falabella: sin costo, sujeto a condiciones</t>
        </is>
      </c>
      <c r="K9" s="18" t="inlineStr">
        <is>
          <t>Transferencias digitales sin costo, según condiciones del banco</t>
        </is>
      </c>
      <c r="L9" s="18" t="inlineStr">
        <is>
          <t>La tasa regular publicada para la Cuenta Ahorro Clásico es menor; el 5% exige abono de sueldo y tiene tope de saldo.</t>
        </is>
      </c>
    </row>
    <row r="10" ht="58" customHeight="1">
      <c r="A10" s="15" t="inlineStr">
        <is>
          <t>Santander Consumer Bank</t>
        </is>
      </c>
      <c r="B10" s="15" t="inlineStr">
        <is>
          <t>Cuenta Imparable</t>
        </is>
      </c>
      <c r="C10" s="16" t="n">
        <v>0.0485</v>
      </c>
      <c r="D10" s="18" t="inlineStr">
        <is>
          <t>Digital</t>
        </is>
      </c>
      <c r="E10" s="18" t="inlineStr">
        <is>
          <t>Tasa publicada en la web oficial; el video muestra vigencia hasta 31/03/2027</t>
        </is>
      </c>
      <c r="F10" s="18" t="inlineStr">
        <is>
          <t>Apertura 100% online y saldo desde S/500.</t>
        </is>
      </c>
      <c r="G10" s="18" t="inlineStr">
        <is>
          <t>Mensual</t>
        </is>
      </c>
      <c r="H10" s="18" t="inlineStr">
        <is>
          <t>Mensual</t>
        </is>
      </c>
      <c r="I10" s="18" t="inlineStr">
        <is>
          <t>S/0.00</t>
        </is>
      </c>
      <c r="J10" s="18" t="inlineStr">
        <is>
          <t>Consultar tarifario y red habilitada</t>
        </is>
      </c>
      <c r="K10" s="18" t="inlineStr">
        <is>
          <t>Envío y recepción de transferencias sin costo, según página del producto</t>
        </is>
      </c>
      <c r="L10" s="18" t="inlineStr">
        <is>
          <t>El documento enlazado corresponde a una campaña complementaria; revisar también cartilla y tarifario antes de contratar.</t>
        </is>
      </c>
    </row>
    <row r="11" ht="58" customHeight="1">
      <c r="A11" s="15" t="inlineStr">
        <is>
          <t>Banco Alfin</t>
        </is>
      </c>
      <c r="B11" s="15" t="inlineStr">
        <is>
          <t>Ahorro Meta</t>
        </is>
      </c>
      <c r="C11" s="16" t="n">
        <v>0.048</v>
      </c>
      <c r="D11" s="18" t="inlineStr">
        <is>
          <t>Digital / web</t>
        </is>
      </c>
      <c r="E11" s="18" t="inlineStr">
        <is>
          <t>Aperturas web 07/07/2026–15/08/2026; tasa promocional hasta 15/09/2026</t>
        </is>
      </c>
      <c r="F11" s="18" t="inlineStr">
        <is>
          <t>Apertura web para 4.80%; apertura en agencia: 4.50%. Desde 16/09/2026 se aplica tasa regular publicada.</t>
        </is>
      </c>
      <c r="G11" s="18" t="inlineStr">
        <is>
          <t>Mensual</t>
        </is>
      </c>
      <c r="H11" s="18" t="inlineStr">
        <is>
          <t>Interés calculado diariamente y abonado mensualmente</t>
        </is>
      </c>
      <c r="I11" s="18" t="inlineStr">
        <is>
          <t>Sin costo si mantiene al menos S/100</t>
        </is>
      </c>
      <c r="J11" s="18" t="inlineStr">
        <is>
          <t>3 retiros en ventanilla sin costo; luego S/3. Cajero local: S/5</t>
        </is>
      </c>
      <c r="K11" s="18" t="inlineStr">
        <is>
          <t>Consultar tarifas por tipo de transferencia</t>
        </is>
      </c>
      <c r="L11" s="18" t="inlineStr">
        <is>
          <t>La tasa depende del canal de apertura. El simulador usa 4.80% como escenario web.</t>
        </is>
      </c>
    </row>
    <row r="12" ht="58" customHeight="1">
      <c r="A12" s="15" t="inlineStr">
        <is>
          <t>Caja Cusco</t>
        </is>
      </c>
      <c r="B12" s="15" t="inlineStr">
        <is>
          <t>Cuenta digital Wayki / campaña Ahorra y Gana</t>
        </is>
      </c>
      <c r="C12" s="16" t="n">
        <v>0.0475</v>
      </c>
      <c r="D12" s="18" t="inlineStr">
        <is>
          <t>Digital</t>
        </is>
      </c>
      <c r="E12" s="18" t="inlineStr">
        <is>
          <t>La tasa aparece en el video; no se localizó un TyC oficial de agosto 2026 durante la verificación</t>
        </is>
      </c>
      <c r="F12" s="18" t="inlineStr">
        <is>
          <t>Tasa máxima reconstruida del video; condiciones exactas deben confirmarse en la campaña vigente.</t>
        </is>
      </c>
      <c r="G12" s="18" t="inlineStr">
        <is>
          <t>Consultar cartilla vigente</t>
        </is>
      </c>
      <c r="H12" s="18" t="inlineStr">
        <is>
          <t>Consultar cartilla vigente</t>
        </is>
      </c>
      <c r="I12" s="18" t="inlineStr">
        <is>
          <t>Consultar tarifario</t>
        </is>
      </c>
      <c r="J12" s="18" t="inlineStr">
        <is>
          <t>Consultar tarifario</t>
        </is>
      </c>
      <c r="K12" s="18" t="inlineStr">
        <is>
          <t>Consultar tarifario</t>
        </is>
      </c>
      <c r="L12" s="18" t="inlineStr">
        <is>
          <t>El PDF enlazado es una campaña oficial anterior localizada como referencia. No debe asumirse que sus condiciones siguen vigentes en agosto.</t>
        </is>
      </c>
    </row>
    <row r="13" ht="58" customHeight="1">
      <c r="A13" s="15" t="inlineStr">
        <is>
          <t>Compartamos Financiera</t>
        </is>
      </c>
      <c r="B13" s="15" t="inlineStr">
        <is>
          <t>Cuenta WOW</t>
        </is>
      </c>
      <c r="C13" s="16" t="n">
        <v>0.046</v>
      </c>
      <c r="D13" s="18" t="inlineStr">
        <is>
          <t>Digital o agencia</t>
        </is>
      </c>
      <c r="E13" s="18" t="inlineStr">
        <is>
          <t>Campaña del 01/07/2026 al 31/08/2026</t>
        </is>
      </c>
      <c r="F13" s="18" t="inlineStr">
        <is>
          <t>Cuenta nueva; saldo medio de referencia S/300 para evitar mantenimiento.</t>
        </is>
      </c>
      <c r="G13" s="18" t="inlineStr">
        <is>
          <t>Último día hábil del mes</t>
        </is>
      </c>
      <c r="H13" s="18" t="inlineStr">
        <is>
          <t>Mensual</t>
        </is>
      </c>
      <c r="I13" s="18" t="inlineStr">
        <is>
          <t>S/6 si el saldo promedio mensual es menor a S/300</t>
        </is>
      </c>
      <c r="J13" s="18" t="inlineStr">
        <is>
          <t>Consultar tarifario vigente</t>
        </is>
      </c>
      <c r="K13" s="18" t="inlineStr">
        <is>
          <t>Consultar tarifario vigente</t>
        </is>
      </c>
      <c r="L13" s="18" t="inlineStr">
        <is>
          <t>El ITF aplicable es 0.005%, conforme a la regulación y condiciones informadas por la entidad.</t>
        </is>
      </c>
    </row>
    <row r="14" ht="58" customHeight="1">
      <c r="A14" s="15" t="inlineStr">
        <is>
          <t>Banco de Comercio</t>
        </is>
      </c>
      <c r="B14" s="15" t="inlineStr">
        <is>
          <t>Cuenta de Ahorros Soles – promoción digital</t>
        </is>
      </c>
      <c r="C14" s="16" t="n">
        <v>0.045</v>
      </c>
      <c r="D14" s="18" t="inlineStr">
        <is>
          <t>Digital</t>
        </is>
      </c>
      <c r="E14" s="18" t="inlineStr">
        <is>
          <t>Tasas de campaña 3.50% y 4.50% hasta el 31/12/2026</t>
        </is>
      </c>
      <c r="F14" s="18" t="inlineStr">
        <is>
          <t>La tasa depende del rango/condición definida en la campaña; revisar TyC antes de depositar.</t>
        </is>
      </c>
      <c r="G14" s="18" t="inlineStr">
        <is>
          <t>Mensual</t>
        </is>
      </c>
      <c r="H14" s="18" t="inlineStr">
        <is>
          <t>Mensual</t>
        </is>
      </c>
      <c r="I14" s="18" t="inlineStr">
        <is>
          <t>Consultar tarifario</t>
        </is>
      </c>
      <c r="J14" s="18" t="inlineStr">
        <is>
          <t>Consultar tarifario</t>
        </is>
      </c>
      <c r="K14" s="18" t="inlineStr">
        <is>
          <t>Consultar tarifario</t>
        </is>
      </c>
      <c r="L14" s="18" t="inlineStr">
        <is>
          <t>Esta entidad se incorporó como mejor reconstrucción de una de las columnas ocultas I–K del video.</t>
        </is>
      </c>
    </row>
    <row r="15" ht="58" customHeight="1">
      <c r="A15" s="15" t="inlineStr">
        <is>
          <t>Banco Ripley</t>
        </is>
      </c>
      <c r="B15" s="15" t="inlineStr">
        <is>
          <t>Cuenta Ahorro Plus</t>
        </is>
      </c>
      <c r="C15" s="16" t="n">
        <v>0.045</v>
      </c>
      <c r="D15" s="18" t="inlineStr">
        <is>
          <t>Presencial y digital</t>
        </is>
      </c>
      <c r="E15" s="18" t="inlineStr">
        <is>
          <t>La campaña indicada terminó el 31/07/2026; desde 01/08 rige el tarifario vigente</t>
        </is>
      </c>
      <c r="F15" s="18" t="inlineStr">
        <is>
          <t>La página conserva un ejemplo a 4.50%, pero advierte que desde agosto aplica el tarifario vigente.</t>
        </is>
      </c>
      <c r="G15" s="18" t="inlineStr">
        <is>
          <t>Mensual</t>
        </is>
      </c>
      <c r="H15" s="18" t="inlineStr">
        <is>
          <t>Mensual</t>
        </is>
      </c>
      <c r="I15" s="18" t="inlineStr">
        <is>
          <t>Sin costo si el saldo promedio es ≥ S/500</t>
        </is>
      </c>
      <c r="J15" s="18" t="inlineStr">
        <is>
          <t>2 retiros gratuitos al mes en red Mastercard; luego comisión</t>
        </is>
      </c>
      <c r="K15" s="18" t="inlineStr">
        <is>
          <t>CCE misma plaza y otras plazas con comisión; revisar tarifario</t>
        </is>
      </c>
      <c r="L15" s="18" t="inlineStr">
        <is>
          <t>Se mantiene en el comparativo porque aparece en el video, pero la tasa debe confirmarse en el tarifario vigente de agosto.</t>
        </is>
      </c>
    </row>
    <row r="16" ht="58" customHeight="1">
      <c r="A16" s="15" t="inlineStr">
        <is>
          <t>Financiera Efectiva (Efectibank)</t>
        </is>
      </c>
      <c r="B16" s="15" t="inlineStr">
        <is>
          <t>Cuenta de Ahorro Digital</t>
        </is>
      </c>
      <c r="C16" s="16" t="n">
        <v>0.045</v>
      </c>
      <c r="D16" s="18" t="inlineStr">
        <is>
          <t>Digital</t>
        </is>
      </c>
      <c r="E16" s="18" t="inlineStr">
        <is>
          <t>Vigente según página oficial consultada</t>
        </is>
      </c>
      <c r="F16" s="18" t="inlineStr">
        <is>
          <t>Interés desde el primer sol; sin monto mínimo de apertura.</t>
        </is>
      </c>
      <c r="G16" s="18" t="inlineStr">
        <is>
          <t>Fin de mes</t>
        </is>
      </c>
      <c r="H16" s="18" t="inlineStr">
        <is>
          <t>Interés calculado diariamente y abonado al cierre del mes</t>
        </is>
      </c>
      <c r="I16" s="18" t="inlineStr">
        <is>
          <t>S/0.00</t>
        </is>
      </c>
      <c r="J16" s="18" t="inlineStr">
        <is>
          <t>1 retiro gratuito al mes en KasNet; luego tarifa vigente</t>
        </is>
      </c>
      <c r="K16" s="18" t="inlineStr">
        <is>
          <t>Transferencias inmediatas y entre cuentas informadas como gratuitas; Yape/Plin sin costo</t>
        </is>
      </c>
      <c r="L16" s="18" t="inlineStr">
        <is>
          <t>La web del producto enlaza contrato multiproducto, cartilla, tarifario y fórmulas.</t>
        </is>
      </c>
    </row>
    <row r="17" ht="58" customHeight="1">
      <c r="A17" s="15" t="inlineStr">
        <is>
          <t>Banco GNB Perú</t>
        </is>
      </c>
      <c r="B17" s="15" t="inlineStr">
        <is>
          <t>Cuenta Ahorro Rolando</t>
        </is>
      </c>
      <c r="C17" s="16" t="n">
        <v>0.045</v>
      </c>
      <c r="D17" s="18" t="inlineStr">
        <is>
          <t>Presencial y digital</t>
        </is>
      </c>
      <c r="E17" s="18" t="inlineStr">
        <is>
          <t>Vigente según página oficial consultada</t>
        </is>
      </c>
      <c r="F17" s="18" t="inlineStr">
        <is>
          <t>Sin monto mínimo de apertura; tasa en soles publicada para el producto.</t>
        </is>
      </c>
      <c r="G17" s="18" t="inlineStr">
        <is>
          <t>Diario</t>
        </is>
      </c>
      <c r="H17" s="18" t="inlineStr">
        <is>
          <t>Diaria</t>
        </is>
      </c>
      <c r="I17" s="18" t="inlineStr">
        <is>
          <t>S/0.00</t>
        </is>
      </c>
      <c r="J17" s="18" t="inlineStr">
        <is>
          <t>Retiros libres según red; revisar tarifario vigente</t>
        </is>
      </c>
      <c r="K17" s="18" t="inlineStr">
        <is>
          <t>Transferencias con comisión según tarifario y plaza</t>
        </is>
      </c>
      <c r="L17" s="18" t="inlineStr">
        <is>
          <t>La capitalización diaria es una característica diferenciadora; el simulador anualiza mediante TREA.</t>
        </is>
      </c>
    </row>
    <row r="18" ht="58" customHeight="1">
      <c r="A18" s="15" t="inlineStr">
        <is>
          <t>Caja Arequipa</t>
        </is>
      </c>
      <c r="B18" s="15" t="inlineStr">
        <is>
          <t>Campaña Caja Digital</t>
        </is>
      </c>
      <c r="C18" s="16" t="n">
        <v>0.045</v>
      </c>
      <c r="D18" s="18" t="inlineStr">
        <is>
          <t>Digital</t>
        </is>
      </c>
      <c r="E18" s="18" t="inlineStr">
        <is>
          <t>Aperturas 24/07/2026–03/09/2026; tasa promocional hasta 31/12/2026</t>
        </is>
      </c>
      <c r="F18" s="18" t="inlineStr">
        <is>
          <t>Tasa escalonada; 4.50% solo para saldos desde S/50,000.</t>
        </is>
      </c>
      <c r="G18" s="18" t="inlineStr">
        <is>
          <t>Mensual</t>
        </is>
      </c>
      <c r="H18" s="18" t="inlineStr">
        <is>
          <t>Mensual</t>
        </is>
      </c>
      <c r="I18" s="18" t="inlineStr">
        <is>
          <t>S/0.00, según cuadro del video</t>
        </is>
      </c>
      <c r="J18" s="18" t="inlineStr">
        <is>
          <t>Cajeros de otros bancos: comisión por retiro</t>
        </is>
      </c>
      <c r="K18" s="18" t="inlineStr">
        <is>
          <t>Vía CCE con comisiones según modalidad; revisar tarifario</t>
        </is>
      </c>
      <c r="L18" s="18" t="inlineStr">
        <is>
          <t>La apertura debe realizarse por los canales digitales autorizados; no aplica a aperturas en agencia.</t>
        </is>
      </c>
    </row>
    <row r="19" ht="58" customHeight="1">
      <c r="A19" s="15" t="inlineStr">
        <is>
          <t>Caja Piura</t>
        </is>
      </c>
      <c r="B19" s="15" t="inlineStr">
        <is>
          <t>Cuenta Light – Ahorra y gana más</t>
        </is>
      </c>
      <c r="C19" s="16" t="n">
        <v>0.045</v>
      </c>
      <c r="D19" s="18" t="inlineStr">
        <is>
          <t>Presencial y digital</t>
        </is>
      </c>
      <c r="E19" s="18" t="inlineStr">
        <is>
          <t>Campaña del 01/08/2026 al 31/12/2026</t>
        </is>
      </c>
      <c r="F19" s="18" t="inlineStr">
        <is>
          <t>Hasta 4.50% TREA; el video muestra el umbral máximo alrededor de S/50,001. Confirmar escala oficial.</t>
        </is>
      </c>
      <c r="G19" s="18" t="inlineStr">
        <is>
          <t>Mensual</t>
        </is>
      </c>
      <c r="H19" s="18" t="inlineStr">
        <is>
          <t>Mensual</t>
        </is>
      </c>
      <c r="I19" s="18" t="inlineStr">
        <is>
          <t>S/0.00</t>
        </is>
      </c>
      <c r="J19" s="18" t="inlineStr">
        <is>
          <t>Piura Cash: retiros sin costo, según condiciones de la entidad</t>
        </is>
      </c>
      <c r="K19" s="18" t="inlineStr">
        <is>
          <t>S/1.50 por operación, según cuadro del video; validar tarifario</t>
        </is>
      </c>
      <c r="L19" s="18" t="inlineStr">
        <is>
          <t>La web oficial publica 'hasta 4.5%' y apertura desde S/100; el rango exacto de la tasa máxima debe revisarse en TyC.</t>
        </is>
      </c>
    </row>
    <row r="20" ht="58" customHeight="1">
      <c r="A20" s="15" t="inlineStr">
        <is>
          <t>Financiera Oh! / SIP</t>
        </is>
      </c>
      <c r="B20" s="15" t="inlineStr">
        <is>
          <t>AhorraMás Soles</t>
        </is>
      </c>
      <c r="C20" s="16" t="n">
        <v>0.04</v>
      </c>
      <c r="D20" s="18" t="inlineStr">
        <is>
          <t>Digital (app SIP)</t>
        </is>
      </c>
      <c r="E20" s="18" t="inlineStr">
        <is>
          <t>Vigente según cartilla y página oficial consultadas</t>
        </is>
      </c>
      <c r="F20" s="18" t="inlineStr">
        <is>
          <t>Sin monto mínimo de apertura; cuenta digital.</t>
        </is>
      </c>
      <c r="G20" s="18" t="inlineStr">
        <is>
          <t>Mensual</t>
        </is>
      </c>
      <c r="H20" s="18" t="inlineStr">
        <is>
          <t>Interés calculado diariamente y pagado mensualmente</t>
        </is>
      </c>
      <c r="I20" s="18" t="inlineStr">
        <is>
          <t>S/0.00</t>
        </is>
      </c>
      <c r="J20" s="18" t="inlineStr">
        <is>
          <t>Consultar canales y tarifario vigente</t>
        </is>
      </c>
      <c r="K20" s="18" t="inlineStr">
        <is>
          <t>Operaciones y transferencias informadas sin comisión; revisar límites</t>
        </is>
      </c>
      <c r="L20" s="18" t="inlineStr">
        <is>
          <t>El contrato contempla cierre automático en determinadas circunstancias de inactividad; revisar cláusulas completas.</t>
        </is>
      </c>
    </row>
  </sheetData>
  <autoFilter ref="A4:L20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8" customWidth="1" min="3" max="3"/>
    <col width="24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  <col width="46" customWidth="1" min="10" max="10"/>
  </cols>
  <sheetData>
    <row r="1" ht="30" customHeight="1">
      <c r="A1" s="1" t="inlineStr">
        <is>
          <t>TARJETAS DE CREDITO — COSTO COMPARADO</t>
        </is>
      </c>
    </row>
    <row r="2" ht="18" customHeight="1">
      <c r="A2" s="2" t="inlineStr">
        <is>
          <t>Ordenadas por TCEA ascendente: aqui gana la tasa MAS BAJA. Cifras referenciales.   ·   Datos generados el 16/08/2026 23:16</t>
        </is>
      </c>
    </row>
    <row r="4" ht="30" customHeight="1">
      <c r="A4" s="14" t="inlineStr">
        <is>
          <t>#</t>
        </is>
      </c>
      <c r="B4" s="14" t="inlineStr">
        <is>
          <t>Entidad</t>
        </is>
      </c>
      <c r="C4" s="14" t="inlineStr">
        <is>
          <t>Tarjeta</t>
        </is>
      </c>
      <c r="D4" s="14" t="inlineStr">
        <is>
          <t>Marca</t>
        </is>
      </c>
      <c r="E4" s="14" t="inlineStr">
        <is>
          <t>TCEA</t>
        </is>
      </c>
      <c r="F4" s="14" t="inlineStr">
        <is>
          <t>TEA min</t>
        </is>
      </c>
      <c r="G4" s="14" t="inlineStr">
        <is>
          <t>TEA max</t>
        </is>
      </c>
      <c r="H4" s="14" t="inlineStr">
        <is>
          <t>Membresia</t>
        </is>
      </c>
      <c r="I4" s="14" t="inlineStr">
        <is>
          <t>Linea minima</t>
        </is>
      </c>
      <c r="J4" s="14" t="inlineStr">
        <is>
          <t>Estado del dato</t>
        </is>
      </c>
    </row>
    <row r="5" ht="32" customHeight="1">
      <c r="A5" s="15" t="n">
        <v>1</v>
      </c>
      <c r="B5" s="15" t="inlineStr">
        <is>
          <t>Banco de Crédito del Perú</t>
        </is>
      </c>
      <c r="C5" s="15" t="inlineStr">
        <is>
          <t>Tarjeta de Crédito BCP (LATAM Pass / Clásica)</t>
        </is>
      </c>
      <c r="D5" s="15" t="inlineStr">
        <is>
          <t>Visa / Mastercard</t>
        </is>
      </c>
      <c r="E5" s="16" t="n">
        <v>0.3929</v>
      </c>
      <c r="F5" s="16" t="n">
        <v>0.36</v>
      </c>
      <c r="G5" s="16" t="n">
        <v>0.9</v>
      </c>
      <c r="H5" s="17" t="n">
        <v>0</v>
      </c>
      <c r="I5" s="17" t="n">
        <v>1000</v>
      </c>
      <c r="J5" s="18" t="inlineStr">
        <is>
          <t>Referencial: rango de mercado. Confirmar en el tarifario del producto.</t>
        </is>
      </c>
    </row>
    <row r="6" ht="32" customHeight="1">
      <c r="A6" s="15" t="n">
        <v>2</v>
      </c>
      <c r="B6" s="15" t="inlineStr">
        <is>
          <t>Interbank</t>
        </is>
      </c>
      <c r="C6" s="15" t="inlineStr">
        <is>
          <t>Tarjeta Interbank (Cashback / Clásica)</t>
        </is>
      </c>
      <c r="D6" s="15" t="inlineStr">
        <is>
          <t>Visa / Mastercard / American Express</t>
        </is>
      </c>
      <c r="E6" s="16" t="n">
        <v>0.4508</v>
      </c>
      <c r="F6" s="16" t="n">
        <v>0.3001</v>
      </c>
      <c r="G6" s="16" t="n">
        <v>0.9</v>
      </c>
      <c r="H6" s="17" t="n">
        <v>0</v>
      </c>
      <c r="I6" s="17" t="n">
        <v>1000</v>
      </c>
      <c r="J6" s="18" t="inlineStr">
        <is>
          <t>TCEA máxima (191.93%) y tasas de 30.01% y 35.01% leídas de su página oficial el 06/08/2026.</t>
        </is>
      </c>
    </row>
    <row r="7" ht="32" customHeight="1">
      <c r="A7" s="15" t="n">
        <v>3</v>
      </c>
      <c r="B7" s="15" t="inlineStr">
        <is>
          <t>Banco Santander Perú</t>
        </is>
      </c>
      <c r="C7" s="15" t="inlineStr">
        <is>
          <t>Tarjeta Santander</t>
        </is>
      </c>
      <c r="D7" s="15" t="inlineStr">
        <is>
          <t>Visa / Mastercard</t>
        </is>
      </c>
      <c r="E7" s="16" t="n">
        <v>0.49</v>
      </c>
      <c r="F7" s="16" t="n">
        <v>0.36</v>
      </c>
      <c r="G7" s="16" t="n">
        <v>0.9</v>
      </c>
      <c r="H7" s="17" t="n">
        <v>0</v>
      </c>
      <c r="I7" s="17" t="n">
        <v>1000</v>
      </c>
      <c r="J7" s="18" t="inlineStr">
        <is>
          <t>Referencial: rango de mercado. Confirmar en el tarifario del producto.</t>
        </is>
      </c>
    </row>
    <row r="8" ht="32" customHeight="1">
      <c r="A8" s="15" t="n">
        <v>4</v>
      </c>
      <c r="B8" s="15" t="inlineStr">
        <is>
          <t>Scotiabank Perú</t>
        </is>
      </c>
      <c r="C8" s="15" t="inlineStr">
        <is>
          <t>Tarjeta Scotiabank Zero</t>
        </is>
      </c>
      <c r="D8" s="15" t="inlineStr">
        <is>
          <t>Visa / Mastercard / American Express</t>
        </is>
      </c>
      <c r="E8" s="16" t="n">
        <v>0.4936</v>
      </c>
      <c r="F8" s="16" t="n">
        <v>0.36</v>
      </c>
      <c r="G8" s="16" t="n">
        <v>0.95</v>
      </c>
      <c r="H8" s="17" t="n">
        <v>0</v>
      </c>
      <c r="I8" s="17" t="n">
        <v>2000</v>
      </c>
      <c r="J8" s="18" t="inlineStr">
        <is>
          <t>Referencial: rango de mercado. Confirmar en el tarifario del producto.</t>
        </is>
      </c>
    </row>
    <row r="9" ht="32" customHeight="1">
      <c r="A9" s="15" t="n">
        <v>5</v>
      </c>
      <c r="B9" s="15" t="inlineStr">
        <is>
          <t>BanBif</t>
        </is>
      </c>
      <c r="C9" s="15" t="inlineStr">
        <is>
          <t>Tarjeta de Crédito BanBif</t>
        </is>
      </c>
      <c r="D9" s="15" t="inlineStr">
        <is>
          <t>Visa / Mastercard</t>
        </is>
      </c>
      <c r="E9" s="16" t="n">
        <v>0.5</v>
      </c>
      <c r="F9" s="16" t="n">
        <v>0.36</v>
      </c>
      <c r="G9" s="16" t="n">
        <v>0.9</v>
      </c>
      <c r="H9" s="17" t="n">
        <v>0</v>
      </c>
      <c r="I9" s="17" t="n">
        <v>1000</v>
      </c>
      <c r="J9" s="18" t="inlineStr">
        <is>
          <t>Referencial: rango de mercado. Confirmar en el tarifario del producto.</t>
        </is>
      </c>
    </row>
    <row r="10" ht="32" customHeight="1">
      <c r="A10" s="15" t="n">
        <v>6</v>
      </c>
      <c r="B10" s="15" t="inlineStr">
        <is>
          <t>Banco GNB Perú</t>
        </is>
      </c>
      <c r="C10" s="15" t="inlineStr">
        <is>
          <t>Tarjeta de Crédito GNB</t>
        </is>
      </c>
      <c r="D10" s="15" t="inlineStr">
        <is>
          <t>Visa</t>
        </is>
      </c>
      <c r="E10" s="16" t="n">
        <v>0.5</v>
      </c>
      <c r="F10" s="16" t="n">
        <v>0.36</v>
      </c>
      <c r="G10" s="16" t="n">
        <v>0.9</v>
      </c>
      <c r="H10" s="17" t="n">
        <v>0</v>
      </c>
      <c r="I10" s="17" t="n">
        <v>1000</v>
      </c>
      <c r="J10" s="18" t="inlineStr">
        <is>
          <t>Referencial: rango de mercado. Confirmar en el tarifario del producto.</t>
        </is>
      </c>
    </row>
    <row r="11" ht="32" customHeight="1">
      <c r="A11" s="15" t="n">
        <v>7</v>
      </c>
      <c r="B11" s="15" t="inlineStr">
        <is>
          <t>Banco Pichincha</t>
        </is>
      </c>
      <c r="C11" s="15" t="inlineStr">
        <is>
          <t>Tarjeta de Crédito Pichincha</t>
        </is>
      </c>
      <c r="D11" s="15" t="inlineStr">
        <is>
          <t>Visa</t>
        </is>
      </c>
      <c r="E11" s="16" t="n">
        <v>0.52</v>
      </c>
      <c r="F11" s="16" t="n">
        <v>0.38</v>
      </c>
      <c r="G11" s="16" t="n">
        <v>0.95</v>
      </c>
      <c r="H11" s="17" t="n">
        <v>0</v>
      </c>
      <c r="I11" s="17" t="n">
        <v>1000</v>
      </c>
      <c r="J11" s="18" t="inlineStr">
        <is>
          <t>Referencial: rango de mercado. Confirmar en el tarifario del producto.</t>
        </is>
      </c>
    </row>
    <row r="12" ht="32" customHeight="1">
      <c r="A12" s="15" t="n">
        <v>8</v>
      </c>
      <c r="B12" s="15" t="inlineStr">
        <is>
          <t>BBVA</t>
        </is>
      </c>
      <c r="C12" s="15" t="inlineStr">
        <is>
          <t>Tarjeta BBVA Aqua</t>
        </is>
      </c>
      <c r="D12" s="15" t="inlineStr">
        <is>
          <t>Visa / Mastercard</t>
        </is>
      </c>
      <c r="E12" s="16" t="n">
        <v>0.5266999999999999</v>
      </c>
      <c r="F12" s="16" t="n">
        <v>0.36</v>
      </c>
      <c r="G12" s="16" t="n">
        <v>0.95</v>
      </c>
      <c r="H12" s="17" t="n">
        <v>0</v>
      </c>
      <c r="I12" s="17" t="n">
        <v>1000</v>
      </c>
      <c r="J12" s="18" t="inlineStr">
        <is>
          <t>Referencial: rango de mercado. Confirmar en el tarifario del producto.</t>
        </is>
      </c>
    </row>
    <row r="13" ht="32" customHeight="1">
      <c r="A13" s="15" t="n">
        <v>9</v>
      </c>
      <c r="B13" s="15" t="inlineStr">
        <is>
          <t>Banco Falabella</t>
        </is>
      </c>
      <c r="C13" s="15" t="inlineStr">
        <is>
          <t>Tarjeta CMR Falabella</t>
        </is>
      </c>
      <c r="D13" s="15" t="inlineStr">
        <is>
          <t>Visa / Mastercard</t>
        </is>
      </c>
      <c r="E13" s="16" t="n">
        <v>0.55</v>
      </c>
      <c r="F13" s="16" t="n">
        <v>0.4</v>
      </c>
      <c r="G13" s="16" t="n">
        <v>1</v>
      </c>
      <c r="H13" s="17" t="n">
        <v>0</v>
      </c>
      <c r="I13" s="17" t="n">
        <v>500</v>
      </c>
      <c r="J13" s="18" t="inlineStr">
        <is>
          <t>Referencial: rango de mercado. Confirmar en el tarifario del producto.</t>
        </is>
      </c>
    </row>
    <row r="14" ht="32" customHeight="1">
      <c r="A14" s="15" t="n">
        <v>10</v>
      </c>
      <c r="B14" s="15" t="inlineStr">
        <is>
          <t>Caja Cusco</t>
        </is>
      </c>
      <c r="C14" s="15" t="inlineStr">
        <is>
          <t>Tarjeta de Crédito Caja Cusco</t>
        </is>
      </c>
      <c r="D14" s="15" t="inlineStr">
        <is>
          <t>Visa</t>
        </is>
      </c>
      <c r="E14" s="16" t="n">
        <v>0.57</v>
      </c>
      <c r="F14" s="16" t="n">
        <v>0.4</v>
      </c>
      <c r="G14" s="16" t="n">
        <v>0.95</v>
      </c>
      <c r="H14" s="17" t="n">
        <v>0</v>
      </c>
      <c r="I14" s="17" t="n">
        <v>500</v>
      </c>
      <c r="J14" s="18" t="inlineStr">
        <is>
          <t>Referencial: rango de mercado. Confirmar en el tarifario del producto.</t>
        </is>
      </c>
    </row>
    <row r="15" ht="32" customHeight="1">
      <c r="A15" s="15" t="n">
        <v>11</v>
      </c>
      <c r="B15" s="15" t="inlineStr">
        <is>
          <t>Banco Ripley</t>
        </is>
      </c>
      <c r="C15" s="15" t="inlineStr">
        <is>
          <t>Tarjeta Ripley</t>
        </is>
      </c>
      <c r="D15" s="15" t="inlineStr">
        <is>
          <t>Mastercard</t>
        </is>
      </c>
      <c r="E15" s="16" t="n">
        <v>0.58</v>
      </c>
      <c r="F15" s="16" t="n">
        <v>0.4</v>
      </c>
      <c r="G15" s="16" t="n">
        <v>1</v>
      </c>
      <c r="H15" s="17" t="n">
        <v>0</v>
      </c>
      <c r="I15" s="17" t="n">
        <v>500</v>
      </c>
      <c r="J15" s="18" t="inlineStr">
        <is>
          <t>Referencial: rango de mercado. Confirmar en el tarifario del producto.</t>
        </is>
      </c>
    </row>
    <row r="16" ht="32" customHeight="1">
      <c r="A16" s="15" t="n">
        <v>12</v>
      </c>
      <c r="B16" s="15" t="inlineStr">
        <is>
          <t>Caja Arequipa</t>
        </is>
      </c>
      <c r="C16" s="15" t="inlineStr">
        <is>
          <t>Tarjeta de Crédito Caja Arequipa</t>
        </is>
      </c>
      <c r="D16" s="15" t="inlineStr">
        <is>
          <t>Visa</t>
        </is>
      </c>
      <c r="E16" s="16" t="n">
        <v>0.58</v>
      </c>
      <c r="F16" s="16" t="n">
        <v>0.4</v>
      </c>
      <c r="G16" s="16" t="n">
        <v>0.95</v>
      </c>
      <c r="H16" s="17" t="n">
        <v>0</v>
      </c>
      <c r="I16" s="17" t="n">
        <v>500</v>
      </c>
      <c r="J16" s="18" t="inlineStr">
        <is>
          <t>Referencial: rango de mercado. Confirmar en el tarifario del producto.</t>
        </is>
      </c>
    </row>
    <row r="17" ht="32" customHeight="1">
      <c r="A17" s="15" t="n">
        <v>13</v>
      </c>
      <c r="B17" s="15" t="inlineStr">
        <is>
          <t>Caja Huancayo</t>
        </is>
      </c>
      <c r="C17" s="15" t="inlineStr">
        <is>
          <t>Tarjeta de Crédito Caja Huancayo</t>
        </is>
      </c>
      <c r="D17" s="15" t="inlineStr">
        <is>
          <t>Visa</t>
        </is>
      </c>
      <c r="E17" s="16" t="n">
        <v>0.58</v>
      </c>
      <c r="F17" s="16" t="n">
        <v>0.4</v>
      </c>
      <c r="G17" s="16" t="n">
        <v>0.95</v>
      </c>
      <c r="H17" s="17" t="n">
        <v>0</v>
      </c>
      <c r="I17" s="17" t="n">
        <v>500</v>
      </c>
      <c r="J17" s="18" t="inlineStr">
        <is>
          <t>Referencial: rango de mercado. Confirmar en el tarifario del producto.</t>
        </is>
      </c>
    </row>
    <row r="18" ht="32" customHeight="1">
      <c r="A18" s="15" t="n">
        <v>14</v>
      </c>
      <c r="B18" s="15" t="inlineStr">
        <is>
          <t>Caja Piura</t>
        </is>
      </c>
      <c r="C18" s="15" t="inlineStr">
        <is>
          <t>Tarjeta de Crédito Caja Piura</t>
        </is>
      </c>
      <c r="D18" s="15" t="inlineStr">
        <is>
          <t>Visa</t>
        </is>
      </c>
      <c r="E18" s="16" t="n">
        <v>0.59</v>
      </c>
      <c r="F18" s="16" t="n">
        <v>0.4</v>
      </c>
      <c r="G18" s="16" t="n">
        <v>0.95</v>
      </c>
      <c r="H18" s="17" t="n">
        <v>0</v>
      </c>
      <c r="I18" s="17" t="n">
        <v>500</v>
      </c>
      <c r="J18" s="18" t="inlineStr">
        <is>
          <t>Referencial: rango de mercado. Confirmar en el tarifario del producto.</t>
        </is>
      </c>
    </row>
    <row r="19" ht="32" customHeight="1">
      <c r="A19" s="15" t="n">
        <v>15</v>
      </c>
      <c r="B19" s="15" t="inlineStr">
        <is>
          <t>Mibanco</t>
        </is>
      </c>
      <c r="C19" s="15" t="inlineStr">
        <is>
          <t>Tarjeta de Crédito Mibanco</t>
        </is>
      </c>
      <c r="D19" s="15" t="inlineStr">
        <is>
          <t>Visa</t>
        </is>
      </c>
      <c r="E19" s="16" t="n">
        <v>0.6</v>
      </c>
      <c r="F19" s="16" t="n">
        <v>0.4</v>
      </c>
      <c r="G19" s="16" t="n">
        <v>1</v>
      </c>
      <c r="H19" s="17" t="n">
        <v>0</v>
      </c>
      <c r="I19" s="17" t="n">
        <v>500</v>
      </c>
      <c r="J19" s="18" t="inlineStr">
        <is>
          <t>Referencial: rango de mercado. Confirmar en el tarifario del producto.</t>
        </is>
      </c>
    </row>
    <row r="20" ht="32" customHeight="1">
      <c r="A20" s="15" t="n">
        <v>16</v>
      </c>
      <c r="B20" s="15" t="inlineStr">
        <is>
          <t>Alfin Banco</t>
        </is>
      </c>
      <c r="C20" s="15" t="inlineStr">
        <is>
          <t>Tarjeta Alfin (Oh! / Cencosud)</t>
        </is>
      </c>
      <c r="D20" s="15" t="inlineStr">
        <is>
          <t>Visa / Mastercard</t>
        </is>
      </c>
      <c r="E20" s="16" t="n">
        <v>0.65</v>
      </c>
      <c r="F20" s="16" t="n">
        <v>0.45</v>
      </c>
      <c r="G20" s="16" t="n">
        <v>1.05</v>
      </c>
      <c r="H20" s="17" t="n">
        <v>0</v>
      </c>
      <c r="I20" s="17" t="n">
        <v>500</v>
      </c>
      <c r="J20" s="18" t="inlineStr">
        <is>
          <t>Referencial: rango de mercado. Confirmar en el tarifario del producto.</t>
        </is>
      </c>
    </row>
    <row r="21" ht="32" customHeight="1">
      <c r="A21" s="15" t="n">
        <v>17</v>
      </c>
      <c r="B21" s="15" t="inlineStr">
        <is>
          <t>Compartamos Banco</t>
        </is>
      </c>
      <c r="C21" s="15" t="inlineStr">
        <is>
          <t>Tarjeta de Crédito Compartamos</t>
        </is>
      </c>
      <c r="D21" s="15" t="inlineStr">
        <is>
          <t>Visa</t>
        </is>
      </c>
      <c r="E21" s="16" t="n">
        <v>0.66</v>
      </c>
      <c r="F21" s="16" t="n">
        <v>0.45</v>
      </c>
      <c r="G21" s="16" t="n">
        <v>1.05</v>
      </c>
      <c r="H21" s="17" t="n">
        <v>0</v>
      </c>
      <c r="I21" s="17" t="n">
        <v>500</v>
      </c>
      <c r="J21" s="18" t="inlineStr">
        <is>
          <t>Referencial: rango de mercado. Confirmar en el tarifario del producto.</t>
        </is>
      </c>
    </row>
    <row r="23">
      <c r="A23" s="28" t="inlineStr">
        <is>
          <t>Las tasas de tarjeta de crédito varían por perfil de riesgo, línea aprobada, canal y campaña vigente. Las cifras de este listado son REFERENCIALES: sirven para comparar órdenes de magnitud y para alimentar el simulador, no para asumir la tasa que te van a aplicar. La tasa vinculante es la del contrato y el tarifario que firmas.</t>
        </is>
      </c>
    </row>
    <row r="24">
      <c r="A24" s="28" t="inlineStr">
        <is>
          <t>Comparador oficial SBS: https://www.sbs.gob.pe/app/retasas/</t>
        </is>
      </c>
    </row>
  </sheetData>
  <autoFilter ref="A4:J21"/>
  <mergeCells count="2">
    <mergeCell ref="A1:J1"/>
    <mergeCell ref="A2:J2"/>
  </mergeCells>
  <conditionalFormatting sqref="E5:E21">
    <cfRule type="colorScale" priority="1">
      <colorScale>
        <cfvo type="min"/>
        <cfvo type="max"/>
        <color rgb="00DFF3E7"/>
        <color rgb="00F5B7BE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2" customWidth="1" min="3" max="3"/>
  </cols>
  <sheetData>
    <row r="1" ht="30" customHeight="1">
      <c r="A1" s="1" t="inlineStr">
        <is>
          <t>ENTIDADES AUTORIZADAS A CAPTAR DEPOSITOS</t>
        </is>
      </c>
    </row>
    <row r="2" ht="18" customHeight="1">
      <c r="A2" s="2" t="inlineStr">
        <is>
          <t>Miembros del Fondo de Seguro de Depositos (administrado por la SBS). Total: 41. Fuente: https://fsd.org.pe/miembros/   ·   Datos generados el 16/08/2026 23:16</t>
        </is>
      </c>
    </row>
    <row r="4" ht="30" customHeight="1">
      <c r="A4" s="14" t="inlineStr">
        <is>
          <t>Tipo de entidad</t>
        </is>
      </c>
      <c r="B4" s="14" t="inlineStr">
        <is>
          <t>Entidad</t>
        </is>
      </c>
      <c r="C4" s="14" t="inlineStr">
        <is>
          <t>Analizada en el portal</t>
        </is>
      </c>
    </row>
    <row r="5">
      <c r="A5" s="30" t="inlineStr">
        <is>
          <t>Bancos</t>
        </is>
      </c>
      <c r="B5" s="30" t="inlineStr">
        <is>
          <t>Banco de Crédito del Perú</t>
        </is>
      </c>
      <c r="C5" s="30" t="inlineStr">
        <is>
          <t>Si</t>
        </is>
      </c>
    </row>
    <row r="6">
      <c r="A6" s="30" t="inlineStr">
        <is>
          <t>Bancos</t>
        </is>
      </c>
      <c r="B6" s="30" t="inlineStr">
        <is>
          <t>Interbank</t>
        </is>
      </c>
      <c r="C6" s="30" t="inlineStr"/>
    </row>
    <row r="7">
      <c r="A7" s="30" t="inlineStr">
        <is>
          <t>Bancos</t>
        </is>
      </c>
      <c r="B7" s="30" t="inlineStr">
        <is>
          <t>Citibank del Perú</t>
        </is>
      </c>
      <c r="C7" s="30" t="inlineStr"/>
    </row>
    <row r="8">
      <c r="A8" s="30" t="inlineStr">
        <is>
          <t>Bancos</t>
        </is>
      </c>
      <c r="B8" s="30" t="inlineStr">
        <is>
          <t>Scotiabank Perú</t>
        </is>
      </c>
      <c r="C8" s="30" t="inlineStr">
        <is>
          <t>Si</t>
        </is>
      </c>
    </row>
    <row r="9">
      <c r="A9" s="30" t="inlineStr">
        <is>
          <t>Bancos</t>
        </is>
      </c>
      <c r="B9" s="30" t="inlineStr">
        <is>
          <t>BBVA</t>
        </is>
      </c>
      <c r="C9" s="30" t="inlineStr"/>
    </row>
    <row r="10">
      <c r="A10" s="30" t="inlineStr">
        <is>
          <t>Bancos</t>
        </is>
      </c>
      <c r="B10" s="30" t="inlineStr">
        <is>
          <t>Bancom</t>
        </is>
      </c>
      <c r="C10" s="30" t="inlineStr"/>
    </row>
    <row r="11">
      <c r="A11" s="30" t="inlineStr">
        <is>
          <t>Bancos</t>
        </is>
      </c>
      <c r="B11" s="30" t="inlineStr">
        <is>
          <t>Banco Pichincha</t>
        </is>
      </c>
      <c r="C11" s="30" t="inlineStr"/>
    </row>
    <row r="12">
      <c r="A12" s="30" t="inlineStr">
        <is>
          <t>Bancos</t>
        </is>
      </c>
      <c r="B12" s="30" t="inlineStr">
        <is>
          <t>BANBIF</t>
        </is>
      </c>
      <c r="C12" s="30" t="inlineStr"/>
    </row>
    <row r="13">
      <c r="A13" s="30" t="inlineStr">
        <is>
          <t>Bancos</t>
        </is>
      </c>
      <c r="B13" s="30" t="inlineStr">
        <is>
          <t>Mibanco</t>
        </is>
      </c>
      <c r="C13" s="30" t="inlineStr"/>
    </row>
    <row r="14">
      <c r="A14" s="30" t="inlineStr">
        <is>
          <t>Bancos</t>
        </is>
      </c>
      <c r="B14" s="30" t="inlineStr">
        <is>
          <t>Banco Falabella</t>
        </is>
      </c>
      <c r="C14" s="30" t="inlineStr">
        <is>
          <t>Si</t>
        </is>
      </c>
    </row>
    <row r="15">
      <c r="A15" s="30" t="inlineStr">
        <is>
          <t>Bancos</t>
        </is>
      </c>
      <c r="B15" s="30" t="inlineStr">
        <is>
          <t>Banco Ripley</t>
        </is>
      </c>
      <c r="C15" s="30" t="inlineStr">
        <is>
          <t>Si</t>
        </is>
      </c>
    </row>
    <row r="16">
      <c r="A16" s="30" t="inlineStr">
        <is>
          <t>Bancos</t>
        </is>
      </c>
      <c r="B16" s="30" t="inlineStr">
        <is>
          <t>Alfin Banco</t>
        </is>
      </c>
      <c r="C16" s="30" t="inlineStr"/>
    </row>
    <row r="17">
      <c r="A17" s="30" t="inlineStr">
        <is>
          <t>Bancos</t>
        </is>
      </c>
      <c r="B17" s="30" t="inlineStr">
        <is>
          <t>Banco Santander</t>
        </is>
      </c>
      <c r="C17" s="30" t="inlineStr"/>
    </row>
    <row r="18">
      <c r="A18" s="30" t="inlineStr">
        <is>
          <t>Bancos</t>
        </is>
      </c>
      <c r="B18" s="30" t="inlineStr">
        <is>
          <t>Banco GNB</t>
        </is>
      </c>
      <c r="C18" s="30" t="inlineStr">
        <is>
          <t>Si</t>
        </is>
      </c>
    </row>
    <row r="19">
      <c r="A19" s="30" t="inlineStr">
        <is>
          <t>Bancos</t>
        </is>
      </c>
      <c r="B19" s="30" t="inlineStr">
        <is>
          <t>ICBC Peru bank</t>
        </is>
      </c>
      <c r="C19" s="30" t="inlineStr"/>
    </row>
    <row r="20">
      <c r="A20" s="30" t="inlineStr">
        <is>
          <t>Bancos</t>
        </is>
      </c>
      <c r="B20" s="30" t="inlineStr">
        <is>
          <t>Bank of China(Perú)</t>
        </is>
      </c>
      <c r="C20" s="30" t="inlineStr"/>
    </row>
    <row r="21">
      <c r="A21" s="30" t="inlineStr">
        <is>
          <t>Bancos</t>
        </is>
      </c>
      <c r="B21" s="30" t="inlineStr">
        <is>
          <t>Banco BCI</t>
        </is>
      </c>
      <c r="C21" s="30" t="inlineStr"/>
    </row>
    <row r="22">
      <c r="A22" s="30" t="inlineStr">
        <is>
          <t>Bancos</t>
        </is>
      </c>
      <c r="B22" s="30" t="inlineStr">
        <is>
          <t>Santander Consumer Bank</t>
        </is>
      </c>
      <c r="C22" s="30" t="inlineStr">
        <is>
          <t>Si</t>
        </is>
      </c>
    </row>
    <row r="23">
      <c r="A23" s="30" t="inlineStr">
        <is>
          <t>Bancos</t>
        </is>
      </c>
      <c r="B23" s="30" t="inlineStr">
        <is>
          <t>Compartamos Banco</t>
        </is>
      </c>
      <c r="C23" s="30" t="inlineStr">
        <is>
          <t>Si</t>
        </is>
      </c>
    </row>
    <row r="24">
      <c r="A24" s="30" t="inlineStr">
        <is>
          <t>Bancos</t>
        </is>
      </c>
      <c r="B24" s="30" t="inlineStr">
        <is>
          <t>Banco Efectiva</t>
        </is>
      </c>
      <c r="C24" s="30" t="inlineStr"/>
    </row>
    <row r="25">
      <c r="A25" s="30" t="inlineStr">
        <is>
          <t>Financieras</t>
        </is>
      </c>
      <c r="B25" s="30" t="inlineStr">
        <is>
          <t>Financiera Confianza</t>
        </is>
      </c>
      <c r="C25" s="30" t="inlineStr">
        <is>
          <t>Si</t>
        </is>
      </c>
    </row>
    <row r="26">
      <c r="A26" s="30" t="inlineStr">
        <is>
          <t>Financieras</t>
        </is>
      </c>
      <c r="B26" s="30" t="inlineStr">
        <is>
          <t>Financiera QAPAQ</t>
        </is>
      </c>
      <c r="C26" s="30" t="inlineStr">
        <is>
          <t>Si</t>
        </is>
      </c>
    </row>
    <row r="27">
      <c r="A27" s="30" t="inlineStr">
        <is>
          <t>Financieras</t>
        </is>
      </c>
      <c r="B27" s="30" t="inlineStr">
        <is>
          <t>Financiera Proempresa</t>
        </is>
      </c>
      <c r="C27" s="30" t="inlineStr">
        <is>
          <t>Si</t>
        </is>
      </c>
    </row>
    <row r="28">
      <c r="A28" s="30" t="inlineStr">
        <is>
          <t>Financieras</t>
        </is>
      </c>
      <c r="B28" s="30" t="inlineStr">
        <is>
          <t>InFinance XP</t>
        </is>
      </c>
      <c r="C28" s="30" t="inlineStr"/>
    </row>
    <row r="29">
      <c r="A29" s="30" t="inlineStr">
        <is>
          <t>Financieras</t>
        </is>
      </c>
      <c r="B29" s="30" t="inlineStr">
        <is>
          <t>Financiera Surgir</t>
        </is>
      </c>
      <c r="C29" s="30" t="inlineStr">
        <is>
          <t>Si</t>
        </is>
      </c>
    </row>
    <row r="30">
      <c r="A30" s="30" t="inlineStr">
        <is>
          <t>Cajas municipales de ahorro y crédito</t>
        </is>
      </c>
      <c r="B30" s="30" t="inlineStr">
        <is>
          <t>CMAC Arequipa</t>
        </is>
      </c>
      <c r="C30" s="30" t="inlineStr"/>
    </row>
    <row r="31">
      <c r="A31" s="30" t="inlineStr">
        <is>
          <t>Cajas municipales de ahorro y crédito</t>
        </is>
      </c>
      <c r="B31" s="30" t="inlineStr">
        <is>
          <t>CMAC Cuzco</t>
        </is>
      </c>
      <c r="C31" s="30" t="inlineStr"/>
    </row>
    <row r="32">
      <c r="A32" s="30" t="inlineStr">
        <is>
          <t>Cajas municipales de ahorro y crédito</t>
        </is>
      </c>
      <c r="B32" s="30" t="inlineStr">
        <is>
          <t>CMAC Huancayo</t>
        </is>
      </c>
      <c r="C32" s="30" t="inlineStr"/>
    </row>
    <row r="33">
      <c r="A33" s="30" t="inlineStr">
        <is>
          <t>Cajas municipales de ahorro y crédito</t>
        </is>
      </c>
      <c r="B33" s="30" t="inlineStr">
        <is>
          <t>CMAC Ica</t>
        </is>
      </c>
      <c r="C33" s="30" t="inlineStr"/>
    </row>
    <row r="34">
      <c r="A34" s="30" t="inlineStr">
        <is>
          <t>Cajas municipales de ahorro y crédito</t>
        </is>
      </c>
      <c r="B34" s="30" t="inlineStr">
        <is>
          <t>CMAC Maynas</t>
        </is>
      </c>
      <c r="C34" s="30" t="inlineStr"/>
    </row>
    <row r="35">
      <c r="A35" s="30" t="inlineStr">
        <is>
          <t>Cajas municipales de ahorro y crédito</t>
        </is>
      </c>
      <c r="B35" s="30" t="inlineStr">
        <is>
          <t>CMAC Del Santa</t>
        </is>
      </c>
      <c r="C35" s="30" t="inlineStr"/>
    </row>
    <row r="36">
      <c r="A36" s="30" t="inlineStr">
        <is>
          <t>Cajas municipales de ahorro y crédito</t>
        </is>
      </c>
      <c r="B36" s="30" t="inlineStr">
        <is>
          <t>CMAC Paita</t>
        </is>
      </c>
      <c r="C36" s="30" t="inlineStr"/>
    </row>
    <row r="37">
      <c r="A37" s="30" t="inlineStr">
        <is>
          <t>Cajas municipales de ahorro y crédito</t>
        </is>
      </c>
      <c r="B37" s="30" t="inlineStr">
        <is>
          <t>CMAC Piura</t>
        </is>
      </c>
      <c r="C37" s="30" t="inlineStr"/>
    </row>
    <row r="38">
      <c r="A38" s="30" t="inlineStr">
        <is>
          <t>Cajas municipales de ahorro y crédito</t>
        </is>
      </c>
      <c r="B38" s="30" t="inlineStr">
        <is>
          <t>CMAC Tacna</t>
        </is>
      </c>
      <c r="C38" s="30" t="inlineStr"/>
    </row>
    <row r="39">
      <c r="A39" s="30" t="inlineStr">
        <is>
          <t>Cajas municipales de ahorro y crédito</t>
        </is>
      </c>
      <c r="B39" s="30" t="inlineStr">
        <is>
          <t>CMAC Trujillo</t>
        </is>
      </c>
      <c r="C39" s="30" t="inlineStr"/>
    </row>
    <row r="40">
      <c r="A40" s="30" t="inlineStr">
        <is>
          <t>Cajas municipales de ahorro y crédito</t>
        </is>
      </c>
      <c r="B40" s="30" t="inlineStr">
        <is>
          <t>Caja Metropolitana</t>
        </is>
      </c>
      <c r="C40" s="30" t="inlineStr"/>
    </row>
    <row r="41">
      <c r="A41" s="30" t="inlineStr">
        <is>
          <t>Cajas rurales de ahorro y crédito</t>
        </is>
      </c>
      <c r="B41" s="30" t="inlineStr">
        <is>
          <t>CRAC Los Andes</t>
        </is>
      </c>
      <c r="C41" s="30" t="inlineStr"/>
    </row>
    <row r="42">
      <c r="A42" s="30" t="inlineStr">
        <is>
          <t>Cajas rurales de ahorro y crédito</t>
        </is>
      </c>
      <c r="B42" s="30" t="inlineStr">
        <is>
          <t>CRAC Prymera</t>
        </is>
      </c>
      <c r="C42" s="30" t="inlineStr"/>
    </row>
    <row r="43">
      <c r="A43" s="30" t="inlineStr">
        <is>
          <t>Cajas rurales de ahorro y crédito</t>
        </is>
      </c>
      <c r="B43" s="30" t="inlineStr">
        <is>
          <t>CRAC Incasur</t>
        </is>
      </c>
      <c r="C43" s="30" t="inlineStr"/>
    </row>
    <row r="44">
      <c r="A44" s="30" t="inlineStr">
        <is>
          <t>Cajas rurales de ahorro y crédito</t>
        </is>
      </c>
      <c r="B44" s="30" t="inlineStr">
        <is>
          <t>CRAC Del Centro</t>
        </is>
      </c>
      <c r="C44" s="30" t="inlineStr"/>
    </row>
    <row r="45">
      <c r="A45" s="30" t="inlineStr">
        <is>
          <t>Cajas rurales de ahorro y crédito</t>
        </is>
      </c>
      <c r="B45" s="30" t="inlineStr">
        <is>
          <t>CRAC Cencosud Scotia</t>
        </is>
      </c>
      <c r="C45" s="30" t="inlineStr"/>
    </row>
    <row r="47">
      <c r="A47" s="28" t="inlineStr">
        <is>
          <t>Miembros del Fondo de Seguro de Depositos, administrado por la SBS. Equivale a las empresas autorizadas a captar depositos del publico. Las cooperativas (COOPAC) no son miembros del FSD: cuentan con un fondo propio.</t>
        </is>
      </c>
    </row>
  </sheetData>
  <autoFilter ref="A4:C45"/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44" customWidth="1" min="3" max="3"/>
    <col width="34" customWidth="1" min="4" max="4"/>
    <col width="24" customWidth="1" min="5" max="5"/>
    <col width="50" customWidth="1" min="6" max="6"/>
  </cols>
  <sheetData>
    <row r="1" ht="30" customHeight="1">
      <c r="A1" s="1" t="inlineStr">
        <is>
          <t>FUENTES, ALCANCES Y LIMITACIONES</t>
        </is>
      </c>
    </row>
    <row r="2" ht="18" customHeight="1">
      <c r="A2" s="2" t="inlineStr">
        <is>
          <t>Registro de fuentes oficiales y campos que requieren confirmacion directa.   ·   Datos generados el 16/08/2026 23:16</t>
        </is>
      </c>
    </row>
    <row r="4" ht="30" customHeight="1">
      <c r="A4" s="14" t="inlineStr">
        <is>
          <t>Entidad/tema</t>
        </is>
      </c>
      <c r="B4" s="14" t="inlineStr">
        <is>
          <t>Tipo de fuente</t>
        </is>
      </c>
      <c r="C4" s="14" t="inlineStr">
        <is>
          <t>URL</t>
        </is>
      </c>
      <c r="D4" s="14" t="inlineStr">
        <is>
          <t>Dato principal</t>
        </is>
      </c>
      <c r="E4" s="14" t="inlineStr">
        <is>
          <t>Nivel de confianza</t>
        </is>
      </c>
      <c r="F4" s="14" t="inlineStr">
        <is>
          <t>Observación</t>
        </is>
      </c>
    </row>
    <row r="5" ht="34" customHeight="1">
      <c r="A5" s="18" t="inlineStr">
        <is>
          <t>Video de referencia</t>
        </is>
      </c>
      <c r="B5" s="18" t="inlineStr">
        <is>
          <t>YouTube</t>
        </is>
      </c>
      <c r="C5" s="31" t="inlineStr">
        <is>
          <t>https://www.youtube.com/watch?v=rFvo7DurR8M</t>
        </is>
      </c>
      <c r="D5" s="18" t="inlineStr">
        <is>
          <t>Estructura de pestañas y ranking mostrado</t>
        </is>
      </c>
      <c r="E5" s="18" t="inlineStr">
        <is>
          <t>Alta para diseño; media para vigencia</t>
        </is>
      </c>
      <c r="F5" s="18" t="inlineStr">
        <is>
          <t>Capturas del usuario y video</t>
        </is>
      </c>
    </row>
    <row r="6" ht="34" customHeight="1">
      <c r="A6" s="18" t="inlineStr">
        <is>
          <t>FSD</t>
        </is>
      </c>
      <c r="B6" s="18" t="inlineStr">
        <is>
          <t>Oficial</t>
        </is>
      </c>
      <c r="C6" s="31" t="inlineStr">
        <is>
          <t>https://fsd.org.pe/</t>
        </is>
      </c>
      <c r="D6" s="18" t="inlineStr">
        <is>
          <t>Cobertura Jun–Ago 2026: S/122,000</t>
        </is>
      </c>
      <c r="E6" s="18" t="inlineStr">
        <is>
          <t>Alta</t>
        </is>
      </c>
      <c r="F6" s="18" t="inlineStr">
        <is>
          <t>Verificar reglas de cobertura</t>
        </is>
      </c>
    </row>
    <row r="7" ht="34" customHeight="1">
      <c r="A7" s="18" t="inlineStr">
        <is>
          <t>BCRP</t>
        </is>
      </c>
      <c r="B7" s="18" t="inlineStr">
        <is>
          <t>Oficial</t>
        </is>
      </c>
      <c r="C7" s="31" t="inlineStr">
        <is>
          <t>https://estadisticas.bcrp.gob.pe/estadisticas/series/mensuales/resultados/PD04722MM/html</t>
        </is>
      </c>
      <c r="D7" s="18" t="inlineStr">
        <is>
          <t>Tasa de referencia 4.25% a julio de 2026</t>
        </is>
      </c>
      <c r="E7" s="18" t="inlineStr">
        <is>
          <t>Alta</t>
        </is>
      </c>
      <c r="F7" s="18" t="inlineStr">
        <is>
          <t>Contexto macroeconómico</t>
        </is>
      </c>
    </row>
    <row r="8" ht="34" customHeight="1">
      <c r="A8" s="18" t="inlineStr">
        <is>
          <t>SBS</t>
        </is>
      </c>
      <c r="B8" s="18" t="inlineStr">
        <is>
          <t>Oficial</t>
        </is>
      </c>
      <c r="C8" s="31" t="inlineStr">
        <is>
          <t>https://www.sbs.gob.pe/usuarios/aprende-con-la-sbs/compara-y-elige</t>
        </is>
      </c>
      <c r="D8" s="18" t="inlineStr">
        <is>
          <t>Guía para comparar productos y leer contratos</t>
        </is>
      </c>
      <c r="E8" s="18" t="inlineStr">
        <is>
          <t>Alta</t>
        </is>
      </c>
      <c r="F8" s="18" t="inlineStr">
        <is>
          <t>No es una recomendación de producto</t>
        </is>
      </c>
    </row>
    <row r="9" ht="34" customHeight="1">
      <c r="A9" s="18" t="inlineStr">
        <is>
          <t>Scotiabank Perú</t>
        </is>
      </c>
      <c r="B9" s="18" t="inlineStr">
        <is>
          <t>Producto / transparencia oficial</t>
        </is>
      </c>
      <c r="C9" s="31" t="inlineStr">
        <is>
          <t>https://www.scotiabank.com.pe/Personas/Ahorros/Cuentas-Bancarias/cuenta-digital</t>
        </is>
      </c>
      <c r="D9" s="18" t="inlineStr">
        <is>
          <t>Cuenta Digital – 9.70%</t>
        </is>
      </c>
      <c r="E9" s="18" t="inlineStr">
        <is>
          <t>Verificado en web oficial</t>
        </is>
      </c>
      <c r="F9" s="18" t="inlineStr">
        <is>
          <t>La TREA promocional no se aplica a todo el saldo: máximo remunerado S/3,000; el exceso recibe la tasa regular indicada por el banco.</t>
        </is>
      </c>
    </row>
    <row r="10" ht="34" customHeight="1">
      <c r="A10" s="18" t="inlineStr">
        <is>
          <t>Financiera SURGIR</t>
        </is>
      </c>
      <c r="B10" s="18" t="inlineStr">
        <is>
          <t>Producto / transparencia oficial</t>
        </is>
      </c>
      <c r="C10" s="31" t="inlineStr">
        <is>
          <t>https://www.surgir.com.pe/tasas-y-tarifas</t>
        </is>
      </c>
      <c r="D10" s="18" t="inlineStr">
        <is>
          <t>Cuenta de Ahorro Gold Select – 5.60%</t>
        </is>
      </c>
      <c r="E10" s="18" t="inlineStr">
        <is>
          <t>Actualizado frente al video</t>
        </is>
      </c>
      <c r="F10" s="18" t="inlineStr">
        <is>
          <t>Diferencia relevante: el video muestra 5.25%, mientras la página oficial consultada publica hasta 5.60%.</t>
        </is>
      </c>
    </row>
    <row r="11" ht="34" customHeight="1">
      <c r="A11" s="18" t="inlineStr">
        <is>
          <t>Financiera QAPAQ</t>
        </is>
      </c>
      <c r="B11" s="18" t="inlineStr">
        <is>
          <t>Producto / transparencia oficial</t>
        </is>
      </c>
      <c r="C11" s="31" t="inlineStr">
        <is>
          <t>https://www.qapaq.pe/wp-content/uploads/2025/04/Tarifario-ahorros-Insuperable-Abril-2025.pdf</t>
        </is>
      </c>
      <c r="D11" s="18" t="inlineStr">
        <is>
          <t>Cuenta Insuperable – 5.00%</t>
        </is>
      </c>
      <c r="E11" s="18" t="inlineStr">
        <is>
          <t>Verificado en tarifario oficial</t>
        </is>
      </c>
      <c r="F11" s="18" t="inlineStr">
        <is>
          <t>La versión digital puede no exigir monto mínimo de apertura. La tasa depende del saldo; no basta con abrir la cuenta.</t>
        </is>
      </c>
    </row>
    <row r="12" ht="34" customHeight="1">
      <c r="A12" s="18" t="inlineStr">
        <is>
          <t>Financiera Confianza</t>
        </is>
      </c>
      <c r="B12" s="18" t="inlineStr">
        <is>
          <t>Producto / transparencia oficial</t>
        </is>
      </c>
      <c r="C12" s="31" t="inlineStr">
        <is>
          <t>https://confianza.pe/docs/2026/07/T008-027%20Tarifario%20Campana%20-%20Ahorro%20Comun%20en%20Canal%20Digital.pdf</t>
        </is>
      </c>
      <c r="D12" s="18" t="inlineStr">
        <is>
          <t>Cuenta Ahorro Común – canal digital – 5.00%</t>
        </is>
      </c>
      <c r="E12" s="18" t="inlineStr">
        <is>
          <t>Verificado en tarifario de campaña</t>
        </is>
      </c>
      <c r="F12" s="18" t="inlineStr">
        <is>
          <t>La tasa promocional depende del canal digital y del rango de saldo establecido en el tarifario.</t>
        </is>
      </c>
    </row>
    <row r="13" ht="34" customHeight="1">
      <c r="A13" s="18" t="inlineStr">
        <is>
          <t>Banco Falabella</t>
        </is>
      </c>
      <c r="B13" s="18" t="inlineStr">
        <is>
          <t>Producto / transparencia oficial</t>
        </is>
      </c>
      <c r="C13" s="31" t="inlineStr">
        <is>
          <t>https://www.bancofalabella.pe/promociones/detalle/tasa-preferencial-cuenta-sueldo</t>
        </is>
      </c>
      <c r="D13" s="18" t="inlineStr">
        <is>
          <t>Cuenta Ahorro Clásico – 5.00%</t>
        </is>
      </c>
      <c r="E13" s="18" t="inlineStr">
        <is>
          <t>Verificado en web oficial</t>
        </is>
      </c>
      <c r="F13" s="18" t="inlineStr">
        <is>
          <t>La tasa regular publicada para la Cuenta Ahorro Clásico es menor; el 5% exige abono de sueldo y tiene tope de saldo.</t>
        </is>
      </c>
    </row>
    <row r="14" ht="34" customHeight="1">
      <c r="A14" s="18" t="inlineStr">
        <is>
          <t>Santander Consumer Bank</t>
        </is>
      </c>
      <c r="B14" s="18" t="inlineStr">
        <is>
          <t>Producto / transparencia oficial</t>
        </is>
      </c>
      <c r="C14" s="31" t="inlineStr">
        <is>
          <t>https://www.santanderconsumer.com.pe/wp-content/uploads/2026/07/TERMINOS-Y-CONDICIONES-WEB-LA-JUGADA-DEL-AHORRO-1.pdf</t>
        </is>
      </c>
      <c r="D14" s="18" t="inlineStr">
        <is>
          <t>Cuenta Imparable – 4.85%</t>
        </is>
      </c>
      <c r="E14" s="18" t="inlineStr">
        <is>
          <t>Tasa verificada; fecha final por confirmar</t>
        </is>
      </c>
      <c r="F14" s="18" t="inlineStr">
        <is>
          <t>El documento enlazado corresponde a una campaña complementaria; revisar también cartilla y tarifario antes de contratar.</t>
        </is>
      </c>
    </row>
    <row r="15" ht="34" customHeight="1">
      <c r="A15" s="18" t="inlineStr">
        <is>
          <t>Banco Alfin</t>
        </is>
      </c>
      <c r="B15" s="18" t="inlineStr">
        <is>
          <t>Producto / transparencia oficial</t>
        </is>
      </c>
      <c r="C15" s="31" t="inlineStr">
        <is>
          <t>https://www.alfinbanco.pe/ahorros/ahorrometa</t>
        </is>
      </c>
      <c r="D15" s="18" t="inlineStr">
        <is>
          <t>Ahorro Meta – 4.80%</t>
        </is>
      </c>
      <c r="E15" s="18" t="inlineStr">
        <is>
          <t>Verificado en web oficial</t>
        </is>
      </c>
      <c r="F15" s="18" t="inlineStr">
        <is>
          <t>La tasa depende del canal de apertura. El simulador usa 4.80% como escenario web.</t>
        </is>
      </c>
    </row>
    <row r="16" ht="34" customHeight="1">
      <c r="A16" s="18" t="inlineStr">
        <is>
          <t>Caja Cusco</t>
        </is>
      </c>
      <c r="B16" s="18" t="inlineStr">
        <is>
          <t>Producto / transparencia oficial</t>
        </is>
      </c>
      <c r="C16" s="31" t="inlineStr">
        <is>
          <t>https://www.cmac-cusco.com.pe/api/storage/file/Qo95UD7M0bMGuYblDSEeD8CMd2xkUkBoXlRGADLQ.pdf</t>
        </is>
      </c>
      <c r="D16" s="18" t="inlineStr">
        <is>
          <t>Cuenta digital Wayki / campaña Ahorra y Gana – 4.75%</t>
        </is>
      </c>
      <c r="E16" s="18" t="inlineStr">
        <is>
          <t>Con reserva: verificar vigencia</t>
        </is>
      </c>
      <c r="F16" s="18" t="inlineStr">
        <is>
          <t>El PDF enlazado es una campaña oficial anterior localizada como referencia. No debe asumirse que sus condiciones siguen vigentes en agosto.</t>
        </is>
      </c>
    </row>
    <row r="17" ht="34" customHeight="1">
      <c r="A17" s="18" t="inlineStr">
        <is>
          <t>Compartamos Financiera</t>
        </is>
      </c>
      <c r="B17" s="18" t="inlineStr">
        <is>
          <t>Producto / transparencia oficial</t>
        </is>
      </c>
      <c r="C17" s="31" t="inlineStr">
        <is>
          <t>https://www.compartamos.com.pe/wcm/connect/a5b7bede-8d6a-4eb1-923f-084d0d3928f7/Camp_Cuenta_Wow.pdf?MOD=AJPERES</t>
        </is>
      </c>
      <c r="D17" s="18" t="inlineStr">
        <is>
          <t>Cuenta WOW – 4.60%</t>
        </is>
      </c>
      <c r="E17" s="18" t="inlineStr">
        <is>
          <t>Verificado en campaña oficial</t>
        </is>
      </c>
      <c r="F17" s="18" t="inlineStr">
        <is>
          <t>El ITF aplicable es 0.005%, conforme a la regulación y condiciones informadas por la entidad.</t>
        </is>
      </c>
    </row>
    <row r="18" ht="34" customHeight="1">
      <c r="A18" s="18" t="inlineStr">
        <is>
          <t>Banco de Comercio</t>
        </is>
      </c>
      <c r="B18" s="18" t="inlineStr">
        <is>
          <t>Producto / transparencia oficial</t>
        </is>
      </c>
      <c r="C18" s="31" t="inlineStr">
        <is>
          <t>https://www.bancom.pe/personas/promociones/cuenta-ahorro</t>
        </is>
      </c>
      <c r="D18" s="18" t="inlineStr">
        <is>
          <t>Cuenta de Ahorros Soles – promoción digital – 4.50%</t>
        </is>
      </c>
      <c r="E18" s="18" t="inlineStr">
        <is>
          <t>Tasa y vigencia verificadas; rango por confirmar</t>
        </is>
      </c>
      <c r="F18" s="18" t="inlineStr">
        <is>
          <t>Esta entidad se incorporó como mejor reconstrucción de una de las columnas ocultas I–K del video.</t>
        </is>
      </c>
    </row>
    <row r="19" ht="34" customHeight="1">
      <c r="A19" s="18" t="inlineStr">
        <is>
          <t>Banco Ripley</t>
        </is>
      </c>
      <c r="B19" s="18" t="inlineStr">
        <is>
          <t>Producto / transparencia oficial</t>
        </is>
      </c>
      <c r="C19" s="31" t="inlineStr">
        <is>
          <t>https://www.bancoripley.com.pe/ahorros/cuenta-ahorros.html</t>
        </is>
      </c>
      <c r="D19" s="18" t="inlineStr">
        <is>
          <t>Cuenta Ahorro Plus – 4.50%</t>
        </is>
      </c>
      <c r="E19" s="18" t="inlineStr">
        <is>
          <t>Verificar antes de abrir</t>
        </is>
      </c>
      <c r="F19" s="18" t="inlineStr">
        <is>
          <t>Se mantiene en el comparativo porque aparece en el video, pero la tasa debe confirmarse en el tarifario vigente de agosto.</t>
        </is>
      </c>
    </row>
    <row r="20" ht="34" customHeight="1">
      <c r="A20" s="18" t="inlineStr">
        <is>
          <t>Financiera Efectiva (Efectibank)</t>
        </is>
      </c>
      <c r="B20" s="18" t="inlineStr">
        <is>
          <t>Producto / transparencia oficial</t>
        </is>
      </c>
      <c r="C20" s="31" t="inlineStr">
        <is>
          <t>https://www.efectiva.com.pe/ahorros/cuenta-de-ahorros/</t>
        </is>
      </c>
      <c r="D20" s="18" t="inlineStr">
        <is>
          <t>Cuenta de Ahorro Digital – 4.50%</t>
        </is>
      </c>
      <c r="E20" s="18" t="inlineStr">
        <is>
          <t>Verificado en web oficial</t>
        </is>
      </c>
      <c r="F20" s="18" t="inlineStr">
        <is>
          <t>La web del producto enlaza contrato multiproducto, cartilla, tarifario y fórmulas.</t>
        </is>
      </c>
    </row>
    <row r="21" ht="34" customHeight="1">
      <c r="A21" s="18" t="inlineStr">
        <is>
          <t>Banco GNB Perú</t>
        </is>
      </c>
      <c r="B21" s="18" t="inlineStr">
        <is>
          <t>Producto / transparencia oficial</t>
        </is>
      </c>
      <c r="C21" s="31" t="inlineStr">
        <is>
          <t>https://www.bancognb.com.pe/inicio/banca-personas/cuentas/cuenta-rolando</t>
        </is>
      </c>
      <c r="D21" s="18" t="inlineStr">
        <is>
          <t>Cuenta Ahorro Rolando – 4.50%</t>
        </is>
      </c>
      <c r="E21" s="18" t="inlineStr">
        <is>
          <t>Verificado en web oficial</t>
        </is>
      </c>
      <c r="F21" s="18" t="inlineStr">
        <is>
          <t>La capitalización diaria es una característica diferenciadora; el simulador anualiza mediante TREA.</t>
        </is>
      </c>
    </row>
    <row r="22" ht="34" customHeight="1">
      <c r="A22" s="18" t="inlineStr">
        <is>
          <t>Caja Arequipa</t>
        </is>
      </c>
      <c r="B22" s="18" t="inlineStr">
        <is>
          <t>Producto / transparencia oficial</t>
        </is>
      </c>
      <c r="C22" s="31" t="inlineStr">
        <is>
          <t>https://www.cajaarequipa.pe/wp-content/uploads/2026/07/Reglamento-campana-digital-vigente-desde-24-julio-set.2026-caja-digital.pdf</t>
        </is>
      </c>
      <c r="D22" s="18" t="inlineStr">
        <is>
          <t>Campaña Caja Digital – 4.50%</t>
        </is>
      </c>
      <c r="E22" s="18" t="inlineStr">
        <is>
          <t>Verificado en reglamento oficial</t>
        </is>
      </c>
      <c r="F22" s="18" t="inlineStr">
        <is>
          <t>La apertura debe realizarse por los canales digitales autorizados; no aplica a aperturas en agencia.</t>
        </is>
      </c>
    </row>
    <row r="23" ht="34" customHeight="1">
      <c r="A23" s="18" t="inlineStr">
        <is>
          <t>Caja Piura</t>
        </is>
      </c>
      <c r="B23" s="18" t="inlineStr">
        <is>
          <t>Producto / transparencia oficial</t>
        </is>
      </c>
      <c r="C23" s="31" t="inlineStr">
        <is>
          <t>https://www.cajapiura.pe/campaigns-sweepstakes/details/gana-mas-con-cuenta-light</t>
        </is>
      </c>
      <c r="D23" s="18" t="inlineStr">
        <is>
          <t>Cuenta Light – Ahorra y gana más – 4.50%</t>
        </is>
      </c>
      <c r="E23" s="18" t="inlineStr">
        <is>
          <t>Tasa máxima verificada; umbral reconstruido</t>
        </is>
      </c>
      <c r="F23" s="18" t="inlineStr">
        <is>
          <t>La web oficial publica 'hasta 4.5%' y apertura desde S/100; el rango exacto de la tasa máxima debe revisarse en TyC.</t>
        </is>
      </c>
    </row>
    <row r="24" ht="34" customHeight="1">
      <c r="A24" s="18" t="inlineStr">
        <is>
          <t>Financiera Oh! / SIP</t>
        </is>
      </c>
      <c r="B24" s="18" t="inlineStr">
        <is>
          <t>Producto / transparencia oficial</t>
        </is>
      </c>
      <c r="C24" s="31" t="inlineStr">
        <is>
          <t>https://cms.sip.pe/wp-content/documentos/ahorra-mas/Cartilla-AhorraMas-Ahorros.pdf</t>
        </is>
      </c>
      <c r="D24" s="18" t="inlineStr">
        <is>
          <t>AhorraMás Soles – 4.00%</t>
        </is>
      </c>
      <c r="E24" s="18" t="inlineStr">
        <is>
          <t>Verificado en fuente oficial</t>
        </is>
      </c>
      <c r="F24" s="18" t="inlineStr">
        <is>
          <t>El contrato contempla cierre automático en determinadas circunstancias de inactividad; revisar cláusulas completas.</t>
        </is>
      </c>
    </row>
    <row r="25" ht="34" customHeight="1">
      <c r="A25" s="18" t="inlineStr">
        <is>
          <t>Reconstrucción columnas I–K</t>
        </is>
      </c>
      <c r="B25" s="18" t="inlineStr">
        <is>
          <t>Inferencia documentada</t>
        </is>
      </c>
      <c r="C25" s="31" t="inlineStr">
        <is>
          <t>https://www.youtube.com/watch?v=rFvo7DurR8M</t>
        </is>
      </c>
      <c r="D25" s="18" t="inlineStr">
        <is>
          <t>Caja Cusco, Compartamos y Banco de Comercio</t>
        </is>
      </c>
      <c r="E25" s="18" t="inlineStr">
        <is>
          <t>Media</t>
        </is>
      </c>
      <c r="F25" s="18" t="inlineStr">
        <is>
          <t>Las tres columnas no aparecen en las capturas adjuntas; se eligieron por consistencia con el orden de tasas y campañas.</t>
        </is>
      </c>
    </row>
    <row r="26" ht="34" customHeight="1">
      <c r="A26" s="18" t="inlineStr">
        <is>
          <t>SURGIR</t>
        </is>
      </c>
      <c r="B26" s="18" t="inlineStr">
        <is>
          <t>Diferencia frente al video</t>
        </is>
      </c>
      <c r="C26" s="31" t="inlineStr">
        <is>
          <t>https://www.surgir.com.pe/cuenta-gold-select</t>
        </is>
      </c>
      <c r="D26" s="18" t="inlineStr">
        <is>
          <t>Web oficial: hasta 5.60%; video: 5.25%</t>
        </is>
      </c>
      <c r="E26" s="18" t="inlineStr">
        <is>
          <t>Alta</t>
        </is>
      </c>
      <c r="F26" s="18" t="inlineStr">
        <is>
          <t>La tasa actualizada se usa en el ranking y simulador.</t>
        </is>
      </c>
    </row>
    <row r="27" ht="34" customHeight="1">
      <c r="A27" s="18" t="inlineStr">
        <is>
          <t>Banco Ripley</t>
        </is>
      </c>
      <c r="B27" s="18" t="inlineStr">
        <is>
          <t>Vigencia</t>
        </is>
      </c>
      <c r="C27" s="31" t="inlineStr">
        <is>
          <t>https://www.bancoripley.com.pe/ahorros/cuenta-ahorros.html</t>
        </is>
      </c>
      <c r="D27" s="18" t="inlineStr">
        <is>
          <t>La campaña visible venció 31/07/2026</t>
        </is>
      </c>
      <c r="E27" s="18" t="inlineStr">
        <is>
          <t>Media</t>
        </is>
      </c>
      <c r="F27" s="18" t="inlineStr">
        <is>
          <t>Confirmar tarifario desde 01/08/2026.</t>
        </is>
      </c>
    </row>
    <row r="28" ht="34" customHeight="1">
      <c r="A28" s="18" t="inlineStr">
        <is>
          <t>Caja Cusco</t>
        </is>
      </c>
      <c r="B28" s="18" t="inlineStr">
        <is>
          <t>Limitación</t>
        </is>
      </c>
      <c r="C28" s="31" t="inlineStr">
        <is>
          <t>https://www.cmac-cusco.com.pe/</t>
        </is>
      </c>
      <c r="D28" s="18" t="inlineStr">
        <is>
          <t>No se localizó TyC oficial específico de agosto 2026</t>
        </is>
      </c>
      <c r="E28" s="18" t="inlineStr">
        <is>
          <t>Baja/Media</t>
        </is>
      </c>
      <c r="F28" s="18" t="inlineStr">
        <is>
          <t>La tasa de 4.75% se conserva como reconstrucción del video y se marca con reserva.</t>
        </is>
      </c>
    </row>
  </sheetData>
  <autoFilter ref="A4:F28"/>
  <mergeCells count="2">
    <mergeCell ref="A2:F2"/>
    <mergeCell ref="A1:F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2026-08-16T23:16:26Z</dcterms:created>
  <dcterms:modified xsi:type="dcterms:W3CDTF">2026-08-16T23:16:26Z</dcterms:modified>
</cp:coreProperties>
</file>