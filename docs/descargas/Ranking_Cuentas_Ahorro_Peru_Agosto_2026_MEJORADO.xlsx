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TASA'!$A$4:$E$36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2026-08-06   ·   Datos generados el 07/08/2026 03:26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0.0501875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07/08/2026 03:26.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2026-08-06. Cifras en formato numerico corregido. No constituye recomendacion financiera.   ·   Datos generados el 07/08/2026 03:26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500</v>
      </c>
      <c r="H5" s="18" t="inlineStr">
        <is>
          <t>Nuevo cliente; primera Cuenta Digital; mantener ≥ S/500. La tasa aplica solo hasta S/3,000.</t>
        </is>
      </c>
      <c r="I5" s="18" t="inlineStr">
        <is>
          <t>Aperturas del 01/08/2026 al 31/08/2026; pago promocional según campaña</t>
        </is>
      </c>
      <c r="J5" s="15" t="inlineStr">
        <is>
          <t>Verificado en web oficial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</t>
        </is>
      </c>
      <c r="C6" s="15" t="inlineStr">
        <is>
          <t>Cuenta de Ahorro Gold Select</t>
        </is>
      </c>
      <c r="D6" s="16" t="n">
        <v>0.056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Vigente en la página oficial consultada; confirmar tarifario el día de apertura</t>
        </is>
      </c>
      <c r="J6" s="15" t="inlineStr">
        <is>
          <t>Actualizado frente al video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consultado; verificar versión vigente al contratar</t>
        </is>
      </c>
      <c r="J7" s="15" t="inlineStr">
        <is>
          <t>Verificado en tarifario oficial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por canal digital; saldo de referencia para la tasa máxima: S/10,000.</t>
        </is>
      </c>
      <c r="I8" s="18" t="inlineStr">
        <is>
          <t>Campaña del 01/08/2026 al 31/08/2026</t>
        </is>
      </c>
      <c r="J8" s="15" t="inlineStr">
        <is>
          <t>Verificado en tarifario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Banco Falabella</t>
        </is>
      </c>
      <c r="C9" s="15" t="inlineStr">
        <is>
          <t>Cuenta Ahorro Clásico</t>
        </is>
      </c>
      <c r="D9" s="16" t="n">
        <v>0.05</v>
      </c>
      <c r="E9" s="15" t="inlineStr">
        <is>
          <t>Presencial y digital</t>
        </is>
      </c>
      <c r="F9" s="17" t="n">
        <v>0</v>
      </c>
      <c r="G9" s="17" t="n">
        <v>1500</v>
      </c>
      <c r="H9" s="18" t="inlineStr">
        <is>
          <t>Recibir remuneración ≥ S/500 en la cuenta indicada por el banco. 5% hasta S/100,000; exceso a tasa regular.</t>
        </is>
      </c>
      <c r="I9" s="18" t="inlineStr">
        <is>
          <t>Promoción Cuenta Sueldo del 01/07/2026 al 31/08/2026</t>
        </is>
      </c>
      <c r="J9" s="15" t="inlineStr">
        <is>
          <t>Verificado en web oficial</t>
        </is>
      </c>
      <c r="K9" s="15" t="inlineStr">
        <is>
          <t>A- (mostrada en video)</t>
        </is>
      </c>
      <c r="L9" s="15" t="inlineStr">
        <is>
          <t>Grupo Falabella</t>
        </is>
      </c>
      <c r="M9" s="15" t="inlineStr">
        <is>
          <t>Sí</t>
        </is>
      </c>
      <c r="N9" s="19" t="inlineStr">
        <is>
          <t>https://www.bancofalabella.pe/cuentas/cuenta-ahorro-clasico</t>
        </is>
      </c>
    </row>
    <row r="10" ht="42" customHeight="1">
      <c r="A10" s="15" t="n">
        <v>6</v>
      </c>
      <c r="B10" s="15" t="inlineStr">
        <is>
          <t>Santander Consumer Bank</t>
        </is>
      </c>
      <c r="C10" s="15" t="inlineStr">
        <is>
          <t>Cuenta Imparable</t>
        </is>
      </c>
      <c r="D10" s="16" t="n">
        <v>0.0485</v>
      </c>
      <c r="E10" s="15" t="inlineStr">
        <is>
          <t>Digital</t>
        </is>
      </c>
      <c r="F10" s="17" t="n">
        <v>500</v>
      </c>
      <c r="G10" s="17" t="n">
        <v>500</v>
      </c>
      <c r="H10" s="18" t="inlineStr">
        <is>
          <t>Apertura 100% online y saldo desde S/500.</t>
        </is>
      </c>
      <c r="I10" s="18" t="inlineStr">
        <is>
          <t>Tasa publicada en la web oficial; el video muestra vigencia hasta 31/03/2027</t>
        </is>
      </c>
      <c r="J10" s="15" t="inlineStr">
        <is>
          <t>Tasa verificada; fecha final por confirmar</t>
        </is>
      </c>
      <c r="K10" s="15" t="inlineStr">
        <is>
          <t>A- (mostrada en video)</t>
        </is>
      </c>
      <c r="L10" s="15" t="inlineStr">
        <is>
          <t>Grupo Santander</t>
        </is>
      </c>
      <c r="M10" s="15" t="inlineStr">
        <is>
          <t>Sí</t>
        </is>
      </c>
      <c r="N10" s="19" t="inlineStr">
        <is>
          <t>https://www.santanderconsumer.com.pe/personas/ahorros/cuenta-imparable-santander</t>
        </is>
      </c>
    </row>
    <row r="11" ht="42" customHeight="1">
      <c r="A11" s="15" t="n">
        <v>7</v>
      </c>
      <c r="B11" s="15" t="inlineStr">
        <is>
          <t>Banco Alfin</t>
        </is>
      </c>
      <c r="C11" s="15" t="inlineStr">
        <is>
          <t>Ahorro Meta</t>
        </is>
      </c>
      <c r="D11" s="16" t="n">
        <v>0.048</v>
      </c>
      <c r="E11" s="15" t="inlineStr">
        <is>
          <t>Digital / web</t>
        </is>
      </c>
      <c r="F11" s="17" t="n">
        <v>100</v>
      </c>
      <c r="G11" s="17" t="n">
        <v>100</v>
      </c>
      <c r="H11" s="18" t="inlineStr">
        <is>
          <t>Apertura web para 4.80%; apertura en agencia: 4.50%. Desde 16/09/2026 se aplica tasa regular publicada.</t>
        </is>
      </c>
      <c r="I11" s="18" t="inlineStr">
        <is>
          <t>Aperturas web 07/07/2026–15/08/2026; tasa promocional hasta 15/09/2026</t>
        </is>
      </c>
      <c r="J11" s="15" t="inlineStr">
        <is>
          <t>Verificado en web oficial</t>
        </is>
      </c>
      <c r="K11" s="15" t="inlineStr">
        <is>
          <t>A- (mostrada en video)</t>
        </is>
      </c>
      <c r="L11" s="15" t="inlineStr">
        <is>
          <t>Grupo Coril (mostrado en video)</t>
        </is>
      </c>
      <c r="M11" s="15" t="inlineStr">
        <is>
          <t>Sí</t>
        </is>
      </c>
      <c r="N11" s="19" t="inlineStr">
        <is>
          <t>https://www.alfinbanco.pe/ahorros/ahorrometa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0.0475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Tasa máxima reconstruida del video; condiciones exactas deben confirmarse en la campaña vigente.</t>
        </is>
      </c>
      <c r="I12" s="18" t="inlineStr">
        <is>
          <t>La tasa aparece en el video; no se localizó un TyC oficial de agosto 2026 durante la verificación</t>
        </is>
      </c>
      <c r="J12" s="15" t="inlineStr">
        <is>
          <t>Con reserva: verificar vigencia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Compartamos Financiera</t>
        </is>
      </c>
      <c r="C13" s="15" t="inlineStr">
        <is>
          <t>Cuenta WOW</t>
        </is>
      </c>
      <c r="D13" s="16" t="n">
        <v>0.046</v>
      </c>
      <c r="E13" s="15" t="inlineStr">
        <is>
          <t>Digital o agencia</t>
        </is>
      </c>
      <c r="F13" s="17" t="n">
        <v>300</v>
      </c>
      <c r="G13" s="17" t="n">
        <v>300</v>
      </c>
      <c r="H13" s="18" t="inlineStr">
        <is>
          <t>Cuenta nueva; saldo medio de referencia S/300 para evitar mantenimiento.</t>
        </is>
      </c>
      <c r="I13" s="18" t="inlineStr">
        <is>
          <t>Campaña del 01/07/2026 al 31/08/2026</t>
        </is>
      </c>
      <c r="J13" s="15" t="inlineStr">
        <is>
          <t>Verificado en campaña oficial</t>
        </is>
      </c>
      <c r="K13" s="15" t="inlineStr">
        <is>
          <t>No visible en las capturas</t>
        </is>
      </c>
      <c r="L13" s="15" t="inlineStr">
        <is>
          <t>Gentera</t>
        </is>
      </c>
      <c r="M13" s="15" t="inlineStr">
        <is>
          <t>Sí</t>
        </is>
      </c>
      <c r="N13" s="19" t="inlineStr">
        <is>
          <t>https://productos.compartamos.com.pe/</t>
        </is>
      </c>
    </row>
    <row r="14" ht="42" customHeight="1">
      <c r="A14" s="15" t="n">
        <v>10</v>
      </c>
      <c r="B14" s="15" t="inlineStr">
        <is>
          <t>Banco de Comercio</t>
        </is>
      </c>
      <c r="C14" s="15" t="inlineStr">
        <is>
          <t>Cuenta de Ahorros Soles – promoción digital</t>
        </is>
      </c>
      <c r="D14" s="16" t="n">
        <v>0.045</v>
      </c>
      <c r="E14" s="15" t="inlineStr">
        <is>
          <t>Digital</t>
        </is>
      </c>
      <c r="F14" s="17" t="n">
        <v>0</v>
      </c>
      <c r="G14" s="17" t="n">
        <v>0</v>
      </c>
      <c r="H14" s="18" t="inlineStr">
        <is>
          <t>La tasa depende del rango/condición definida en la campaña; revisar TyC antes de depositar.</t>
        </is>
      </c>
      <c r="I14" s="18" t="inlineStr">
        <is>
          <t>Tasas de campaña 3.50% y 4.50% hasta el 31/12/2026</t>
        </is>
      </c>
      <c r="J14" s="15" t="inlineStr">
        <is>
          <t>Tasa y vigencia verificadas; rango por confirmar</t>
        </is>
      </c>
      <c r="K14" s="15" t="inlineStr">
        <is>
          <t>No visible en las capturas</t>
        </is>
      </c>
      <c r="L14" s="15" t="inlineStr">
        <is>
          <t>Banco de Comercio</t>
        </is>
      </c>
      <c r="M14" s="15" t="inlineStr">
        <is>
          <t>Sí</t>
        </is>
      </c>
      <c r="N14" s="19" t="inlineStr">
        <is>
          <t>https://www.bancom.pe/personas/promociones/cuenta-ahorro</t>
        </is>
      </c>
    </row>
    <row r="15" ht="42" customHeight="1">
      <c r="A15" s="15" t="n">
        <v>11</v>
      </c>
      <c r="B15" s="15" t="inlineStr">
        <is>
          <t>Banco Ripley</t>
        </is>
      </c>
      <c r="C15" s="15" t="inlineStr">
        <is>
          <t>Cuenta Ahorro Plus</t>
        </is>
      </c>
      <c r="D15" s="16" t="n">
        <v>0.045</v>
      </c>
      <c r="E15" s="15" t="inlineStr">
        <is>
          <t>Presencial y digital</t>
        </is>
      </c>
      <c r="F15" s="17" t="n">
        <v>0</v>
      </c>
      <c r="G15" s="17" t="n">
        <v>500</v>
      </c>
      <c r="H15" s="18" t="inlineStr">
        <is>
          <t>La página conserva un ejemplo a 4.50%, pero advierte que desde agosto aplica el tarifario vigente.</t>
        </is>
      </c>
      <c r="I15" s="18" t="inlineStr">
        <is>
          <t>La campaña indicada terminó el 31/07/2026; desde 01/08 rige el tarifario vigente</t>
        </is>
      </c>
      <c r="J15" s="15" t="inlineStr">
        <is>
          <t>Verificar antes de abrir</t>
        </is>
      </c>
      <c r="K15" s="15" t="inlineStr">
        <is>
          <t>B+ (mostrada en video)</t>
        </is>
      </c>
      <c r="L15" s="15" t="inlineStr">
        <is>
          <t>Banco Ripley</t>
        </is>
      </c>
      <c r="M15" s="15" t="inlineStr">
        <is>
          <t>Sí</t>
        </is>
      </c>
      <c r="N15" s="19" t="inlineStr">
        <is>
          <t>https://www.bancoripley.com.pe/ahorros/cuenta-ahorros.html</t>
        </is>
      </c>
    </row>
    <row r="16" ht="42" customHeight="1">
      <c r="A16" s="15" t="n">
        <v>12</v>
      </c>
      <c r="B16" s="15" t="inlineStr">
        <is>
          <t>Financiera Efectiva (Efectibank)</t>
        </is>
      </c>
      <c r="C16" s="15" t="inlineStr">
        <is>
          <t>Cuenta de Ahorro Digital</t>
        </is>
      </c>
      <c r="D16" s="16" t="n">
        <v>0.045</v>
      </c>
      <c r="E16" s="15" t="inlineStr">
        <is>
          <t>Digital</t>
        </is>
      </c>
      <c r="F16" s="17" t="n">
        <v>0</v>
      </c>
      <c r="G16" s="17" t="n">
        <v>0</v>
      </c>
      <c r="H16" s="18" t="inlineStr">
        <is>
          <t>Interés desde el primer sol; sin monto mínimo de apertura.</t>
        </is>
      </c>
      <c r="I16" s="18" t="inlineStr">
        <is>
          <t>Vigente según página oficial consultada</t>
        </is>
      </c>
      <c r="J16" s="15" t="inlineStr">
        <is>
          <t>Verificado en web oficial</t>
        </is>
      </c>
      <c r="K16" s="15" t="inlineStr">
        <is>
          <t>A- (mostrada en video)</t>
        </is>
      </c>
      <c r="L16" s="15" t="inlineStr">
        <is>
          <t>Grupo EFE</t>
        </is>
      </c>
      <c r="M16" s="15" t="inlineStr">
        <is>
          <t>Sí</t>
        </is>
      </c>
      <c r="N16" s="19" t="inlineStr">
        <is>
          <t>https://www.efectiva.com.pe/ahorros/cuenta-de-ahorros/</t>
        </is>
      </c>
    </row>
    <row r="17" ht="42" customHeight="1">
      <c r="A17" s="15" t="n">
        <v>13</v>
      </c>
      <c r="B17" s="15" t="inlineStr">
        <is>
          <t>Banco GNB Perú</t>
        </is>
      </c>
      <c r="C17" s="15" t="inlineStr">
        <is>
          <t>Cuenta Ahorro Rolando</t>
        </is>
      </c>
      <c r="D17" s="16" t="n">
        <v>0.045</v>
      </c>
      <c r="E17" s="15" t="inlineStr">
        <is>
          <t>Presencial y digital</t>
        </is>
      </c>
      <c r="F17" s="17" t="n">
        <v>0</v>
      </c>
      <c r="G17" s="17" t="n">
        <v>0</v>
      </c>
      <c r="H17" s="18" t="inlineStr">
        <is>
          <t>Sin monto mínimo de apertura; tasa en soles publicada para el producto.</t>
        </is>
      </c>
      <c r="I17" s="18" t="inlineStr">
        <is>
          <t>Vigente según página oficial consultada</t>
        </is>
      </c>
      <c r="J17" s="15" t="inlineStr">
        <is>
          <t>Verificado en web oficial</t>
        </is>
      </c>
      <c r="K17" s="15" t="inlineStr">
        <is>
          <t>A (mostrada en video)</t>
        </is>
      </c>
      <c r="L17" s="15" t="inlineStr">
        <is>
          <t>Grupo Financiero GNB</t>
        </is>
      </c>
      <c r="M17" s="15" t="inlineStr">
        <is>
          <t>Sí</t>
        </is>
      </c>
      <c r="N17" s="19" t="inlineStr">
        <is>
          <t>https://www.bancognb.com.pe/inicio/banca-personas/cuentas/cuenta-rolando</t>
        </is>
      </c>
    </row>
    <row r="18" ht="42" customHeight="1">
      <c r="A18" s="15" t="n">
        <v>14</v>
      </c>
      <c r="B18" s="15" t="inlineStr">
        <is>
          <t>Caja Arequipa</t>
        </is>
      </c>
      <c r="C18" s="15" t="inlineStr">
        <is>
          <t>Campaña Caja Digital</t>
        </is>
      </c>
      <c r="D18" s="16" t="n">
        <v>0.045</v>
      </c>
      <c r="E18" s="15" t="inlineStr">
        <is>
          <t>Digital</t>
        </is>
      </c>
      <c r="F18" s="17" t="n">
        <v>0</v>
      </c>
      <c r="G18" s="17" t="n">
        <v>50000</v>
      </c>
      <c r="H18" s="18" t="inlineStr">
        <is>
          <t>Tasa escalonada; 4.50% solo para saldos desde S/50,000.</t>
        </is>
      </c>
      <c r="I18" s="18" t="inlineStr">
        <is>
          <t>Aperturas 24/07/2026–03/09/2026; tasa promocional hasta 31/12/2026</t>
        </is>
      </c>
      <c r="J18" s="15" t="inlineStr">
        <is>
          <t>Verificado en reglamento oficial</t>
        </is>
      </c>
      <c r="K18" s="15" t="inlineStr">
        <is>
          <t>A- (mostrada en video)</t>
        </is>
      </c>
      <c r="L18" s="15" t="inlineStr">
        <is>
          <t>Municipalidad Provincial de Arequipa</t>
        </is>
      </c>
      <c r="M18" s="15" t="inlineStr">
        <is>
          <t>Sí</t>
        </is>
      </c>
      <c r="N18" s="19" t="inlineStr">
        <is>
          <t>https://www.cajaarequipa.pe/</t>
        </is>
      </c>
    </row>
    <row r="19" ht="42" customHeight="1">
      <c r="A19" s="15" t="n">
        <v>15</v>
      </c>
      <c r="B19" s="15" t="inlineStr">
        <is>
          <t>Caja Piura</t>
        </is>
      </c>
      <c r="C19" s="15" t="inlineStr">
        <is>
          <t>Cuenta Light – Ahorra y gana más</t>
        </is>
      </c>
      <c r="D19" s="16" t="n">
        <v>0.045</v>
      </c>
      <c r="E19" s="15" t="inlineStr">
        <is>
          <t>Presencial y digital</t>
        </is>
      </c>
      <c r="F19" s="17" t="n">
        <v>100</v>
      </c>
      <c r="G19" s="17" t="n">
        <v>50001</v>
      </c>
      <c r="H19" s="18" t="inlineStr">
        <is>
          <t>Hasta 4.50% TREA; el video muestra el umbral máximo alrededor de S/50,001. Confirmar escala oficial.</t>
        </is>
      </c>
      <c r="I19" s="18" t="inlineStr">
        <is>
          <t>Campaña del 01/08/2026 al 31/12/2026</t>
        </is>
      </c>
      <c r="J19" s="15" t="inlineStr">
        <is>
          <t>Tasa máxima verificada; umbral reconstruido</t>
        </is>
      </c>
      <c r="K19" s="15" t="inlineStr">
        <is>
          <t>B (mostrada en video)</t>
        </is>
      </c>
      <c r="L19" s="15" t="inlineStr">
        <is>
          <t>Municipalidad Provincial de Piura</t>
        </is>
      </c>
      <c r="M19" s="15" t="inlineStr">
        <is>
          <t>Sí</t>
        </is>
      </c>
      <c r="N19" s="19" t="inlineStr">
        <is>
          <t>https://www.cajapiura.pe/campaigns-sweepstakes/details/gana-mas-con-cuenta-light</t>
        </is>
      </c>
    </row>
    <row r="20" ht="42" customHeight="1">
      <c r="A20" s="15" t="n">
        <v>16</v>
      </c>
      <c r="B20" s="15" t="inlineStr">
        <is>
          <t>Financiera Oh! / SIP</t>
        </is>
      </c>
      <c r="C20" s="15" t="inlineStr">
        <is>
          <t>AhorraMás Soles</t>
        </is>
      </c>
      <c r="D20" s="16" t="n">
        <v>0.04</v>
      </c>
      <c r="E20" s="15" t="inlineStr">
        <is>
          <t>Digital (app SIP)</t>
        </is>
      </c>
      <c r="F20" s="17" t="n">
        <v>0</v>
      </c>
      <c r="G20" s="17" t="n">
        <v>0</v>
      </c>
      <c r="H20" s="18" t="inlineStr">
        <is>
          <t>Sin monto mínimo de apertura; cuenta digital.</t>
        </is>
      </c>
      <c r="I20" s="18" t="inlineStr">
        <is>
          <t>Vigente según cartilla y página oficial consultadas</t>
        </is>
      </c>
      <c r="J20" s="15" t="inlineStr">
        <is>
          <t>Verificado en fuente oficial</t>
        </is>
      </c>
      <c r="K20" s="15" t="inlineStr">
        <is>
          <t>A- (mostrada en video)</t>
        </is>
      </c>
      <c r="L20" s="15" t="inlineStr">
        <is>
          <t>Grupo Intercorp</t>
        </is>
      </c>
      <c r="M20" s="15" t="inlineStr">
        <is>
          <t>Sí</t>
        </is>
      </c>
      <c r="N20" s="19" t="inlineStr">
        <is>
          <t>https://sip.pe/productos/ahorramas-soles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07/08/2026 03:26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Desde S/500; tasa promocional solo hasta S/3,000</t>
        </is>
      </c>
    </row>
    <row r="7">
      <c r="A7" s="15" t="inlineStr">
        <is>
          <t>Financiera SURGIR</t>
        </is>
      </c>
      <c r="B7" s="15" t="inlineStr">
        <is>
          <t>Cuenta de Ahorro Gold Select</t>
        </is>
      </c>
      <c r="C7" s="17" t="n">
        <v>0</v>
      </c>
      <c r="D7" s="16" t="n">
        <v>0</v>
      </c>
      <c r="E7" s="18" t="inlineStr">
        <is>
          <t>Por debajo del monto de referencia: consultar tasa aplicable</t>
        </is>
      </c>
    </row>
    <row r="8">
      <c r="A8" s="15" t="inlineStr">
        <is>
          <t>Financiera SURGIR</t>
        </is>
      </c>
      <c r="B8" s="15" t="inlineStr">
        <is>
          <t>Cuenta de Ahorro Gold Select</t>
        </is>
      </c>
      <c r="C8" s="17" t="n">
        <v>20000</v>
      </c>
      <c r="D8" s="16" t="n">
        <v>0.056</v>
      </c>
      <c r="E8" s="18" t="inlineStr">
        <is>
          <t>TREA máxima publicada en la web oficial</t>
        </is>
      </c>
    </row>
    <row r="9">
      <c r="A9" s="15" t="inlineStr">
        <is>
          <t>Financiera QAPAQ</t>
        </is>
      </c>
      <c r="B9" s="15" t="inlineStr">
        <is>
          <t>Cuenta Insuperable</t>
        </is>
      </c>
      <c r="C9" s="17" t="n">
        <v>0</v>
      </c>
      <c r="D9" s="16" t="n">
        <v>0.03</v>
      </c>
      <c r="E9" s="18" t="inlineStr">
        <is>
          <t>S/0 a S/3,999.99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4000</v>
      </c>
      <c r="D10" s="16" t="n">
        <v>0.04</v>
      </c>
      <c r="E10" s="18" t="inlineStr">
        <is>
          <t>S/4,000 a S/7,999.99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8000</v>
      </c>
      <c r="D11" s="16" t="n">
        <v>0.05</v>
      </c>
      <c r="E11" s="18" t="inlineStr">
        <is>
          <t>S/8,000 a S/499,999.99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500000</v>
      </c>
      <c r="D12" s="16" t="n">
        <v>0.04</v>
      </c>
      <c r="E12" s="18" t="inlineStr">
        <is>
          <t>Desde S/500,000</t>
        </is>
      </c>
    </row>
    <row r="13">
      <c r="A13" s="15" t="inlineStr">
        <is>
          <t>Financiera Confianza</t>
        </is>
      </c>
      <c r="B13" s="15" t="inlineStr">
        <is>
          <t>Cuenta Ahorro Común – canal digital</t>
        </is>
      </c>
      <c r="C13" s="17" t="n">
        <v>0</v>
      </c>
      <c r="D13" s="16" t="n">
        <v>0</v>
      </c>
      <c r="E13" s="18" t="inlineStr">
        <is>
          <t>Consultar tasa del rango inferior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10000</v>
      </c>
      <c r="D14" s="16" t="n">
        <v>0.05</v>
      </c>
      <c r="E14" s="18" t="inlineStr">
        <is>
          <t>Tasa máxima de campaña mostrada en el video/tarifario</t>
        </is>
      </c>
    </row>
    <row r="15">
      <c r="A15" s="15" t="inlineStr">
        <is>
          <t>Banco Falabella</t>
        </is>
      </c>
      <c r="B15" s="15" t="inlineStr">
        <is>
          <t>Cuenta Ahorro Clásico</t>
        </is>
      </c>
      <c r="C15" s="17" t="n">
        <v>0</v>
      </c>
      <c r="D15" s="16" t="n">
        <v>0.0375</v>
      </c>
      <c r="E15" s="18" t="inlineStr">
        <is>
          <t>Tasa regular publicada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7" t="n">
        <v>0</v>
      </c>
      <c r="D16" s="16" t="n">
        <v>0.05</v>
      </c>
      <c r="E16" s="18" t="inlineStr">
        <is>
          <t>Con abono de remuneración ≥ S/500; hasta S/100,000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7" t="n">
        <v>0</v>
      </c>
      <c r="D17" s="16" t="n">
        <v>0</v>
      </c>
      <c r="E17" s="18" t="inlineStr">
        <is>
          <t>Por debajo de S/500: no cumple condición publicada</t>
        </is>
      </c>
    </row>
    <row r="18">
      <c r="A18" s="15" t="inlineStr">
        <is>
          <t>Santander Consumer Bank</t>
        </is>
      </c>
      <c r="B18" s="15" t="inlineStr">
        <is>
          <t>Cuenta Imparable</t>
        </is>
      </c>
      <c r="C18" s="17" t="n">
        <v>500</v>
      </c>
      <c r="D18" s="16" t="n">
        <v>0.0485</v>
      </c>
      <c r="E18" s="18" t="inlineStr">
        <is>
          <t>Desde S/500</t>
        </is>
      </c>
    </row>
    <row r="19">
      <c r="A19" s="15" t="inlineStr">
        <is>
          <t>Banco Alfin</t>
        </is>
      </c>
      <c r="B19" s="15" t="inlineStr">
        <is>
          <t>Ahorro Meta</t>
        </is>
      </c>
      <c r="C19" s="17" t="n">
        <v>0</v>
      </c>
      <c r="D19" s="16" t="n">
        <v>0</v>
      </c>
      <c r="E19" s="18" t="inlineStr">
        <is>
          <t>Saldo menor a S/100</t>
        </is>
      </c>
    </row>
    <row r="20">
      <c r="A20" s="15" t="inlineStr">
        <is>
          <t>Banco Alfin</t>
        </is>
      </c>
      <c r="B20" s="15" t="inlineStr">
        <is>
          <t>Ahorro Meta</t>
        </is>
      </c>
      <c r="C20" s="17" t="n">
        <v>100</v>
      </c>
      <c r="D20" s="16" t="n">
        <v>0.048</v>
      </c>
      <c r="E20" s="18" t="inlineStr">
        <is>
          <t>Apertura web</t>
        </is>
      </c>
    </row>
    <row r="21">
      <c r="A21" s="15" t="inlineStr">
        <is>
          <t>Banco Alfin</t>
        </is>
      </c>
      <c r="B21" s="15" t="inlineStr">
        <is>
          <t>Ahorro Meta</t>
        </is>
      </c>
      <c r="C21" s="17" t="n">
        <v>100</v>
      </c>
      <c r="D21" s="16" t="n">
        <v>0.045</v>
      </c>
      <c r="E21" s="18" t="inlineStr">
        <is>
          <t>Apertura en agencia</t>
        </is>
      </c>
    </row>
    <row r="22">
      <c r="A22" s="15" t="inlineStr">
        <is>
          <t>Caja Cusco</t>
        </is>
      </c>
      <c r="B22" s="15" t="inlineStr">
        <is>
          <t>Cuenta digital Wayki / campaña Ahorra y Gana</t>
        </is>
      </c>
      <c r="C22" s="17" t="n">
        <v>0</v>
      </c>
      <c r="D22" s="16" t="n">
        <v>0.0475</v>
      </c>
      <c r="E22" s="18" t="inlineStr">
        <is>
          <t>Escenario de tasa mostrada en el video; confirmar vigencia</t>
        </is>
      </c>
    </row>
    <row r="23">
      <c r="A23" s="15" t="inlineStr">
        <is>
          <t>Compartamos Financiera</t>
        </is>
      </c>
      <c r="B23" s="15" t="inlineStr">
        <is>
          <t>Cuenta WOW</t>
        </is>
      </c>
      <c r="C23" s="17" t="n">
        <v>0</v>
      </c>
      <c r="D23" s="16" t="n">
        <v>0</v>
      </c>
      <c r="E23" s="18" t="inlineStr">
        <is>
          <t>Por debajo de S/300: puede aplicar mantenimiento y/o otra tasa</t>
        </is>
      </c>
    </row>
    <row r="24">
      <c r="A24" s="15" t="inlineStr">
        <is>
          <t>Compartamos Financiera</t>
        </is>
      </c>
      <c r="B24" s="15" t="inlineStr">
        <is>
          <t>Cuenta WOW</t>
        </is>
      </c>
      <c r="C24" s="17" t="n">
        <v>300</v>
      </c>
      <c r="D24" s="16" t="n">
        <v>0.046</v>
      </c>
      <c r="E24" s="18" t="inlineStr">
        <is>
          <t>Tasa promocional máxima</t>
        </is>
      </c>
    </row>
    <row r="25">
      <c r="A25" s="15" t="inlineStr">
        <is>
          <t>Banco de Comercio</t>
        </is>
      </c>
      <c r="B25" s="15" t="inlineStr">
        <is>
          <t>Cuenta de Ahorros Soles – promoción digital</t>
        </is>
      </c>
      <c r="C25" s="17" t="n">
        <v>0</v>
      </c>
      <c r="D25" s="16" t="n">
        <v>0.045</v>
      </c>
      <c r="E25" s="18" t="inlineStr">
        <is>
          <t>Escenario de tasa máxima de campaña; verificar rango aplicable</t>
        </is>
      </c>
    </row>
    <row r="26">
      <c r="A26" s="15" t="inlineStr">
        <is>
          <t>Banco Ripley</t>
        </is>
      </c>
      <c r="B26" s="15" t="inlineStr">
        <is>
          <t>Cuenta Ahorro Plus</t>
        </is>
      </c>
      <c r="C26" s="17" t="n">
        <v>0</v>
      </c>
      <c r="D26" s="16" t="n">
        <v>0</v>
      </c>
      <c r="E26" s="18" t="inlineStr">
        <is>
          <t>Por debajo de S/500: puede aplicar mantenimiento</t>
        </is>
      </c>
    </row>
    <row r="27">
      <c r="A27" s="15" t="inlineStr">
        <is>
          <t>Banco Ripley</t>
        </is>
      </c>
      <c r="B27" s="15" t="inlineStr">
        <is>
          <t>Cuenta Ahorro Plus</t>
        </is>
      </c>
      <c r="C27" s="17" t="n">
        <v>500</v>
      </c>
      <c r="D27" s="16" t="n">
        <v>0.045</v>
      </c>
      <c r="E27" s="18" t="inlineStr">
        <is>
          <t>Ejemplo publicado; confirmar tasa vigente</t>
        </is>
      </c>
    </row>
    <row r="28">
      <c r="A28" s="15" t="inlineStr">
        <is>
          <t>Financiera Efectiva (Efectibank)</t>
        </is>
      </c>
      <c r="B28" s="15" t="inlineStr">
        <is>
          <t>Cuenta de Ahorro Digital</t>
        </is>
      </c>
      <c r="C28" s="17" t="n">
        <v>0</v>
      </c>
      <c r="D28" s="16" t="n">
        <v>0.045</v>
      </c>
      <c r="E28" s="18" t="inlineStr">
        <is>
          <t>Desde el primer sol</t>
        </is>
      </c>
    </row>
    <row r="29">
      <c r="A29" s="15" t="inlineStr">
        <is>
          <t>Banco GNB Perú</t>
        </is>
      </c>
      <c r="B29" s="15" t="inlineStr">
        <is>
          <t>Cuenta Ahorro Rolando</t>
        </is>
      </c>
      <c r="C29" s="17" t="n">
        <v>0</v>
      </c>
      <c r="D29" s="16" t="n">
        <v>0.045</v>
      </c>
      <c r="E29" s="18" t="inlineStr">
        <is>
          <t>Tasa publicada en soles</t>
        </is>
      </c>
    </row>
    <row r="30">
      <c r="A30" s="15" t="inlineStr">
        <is>
          <t>Caja Arequipa</t>
        </is>
      </c>
      <c r="B30" s="15" t="inlineStr">
        <is>
          <t>Campaña Caja Digital</t>
        </is>
      </c>
      <c r="C30" s="17" t="n">
        <v>0</v>
      </c>
      <c r="D30" s="16" t="n">
        <v>0.002</v>
      </c>
      <c r="E30" s="18" t="inlineStr">
        <is>
          <t>Hasta S/1,499.99</t>
        </is>
      </c>
    </row>
    <row r="31">
      <c r="A31" s="15" t="inlineStr">
        <is>
          <t>Caja Arequipa</t>
        </is>
      </c>
      <c r="B31" s="15" t="inlineStr">
        <is>
          <t>Campaña Caja Digital</t>
        </is>
      </c>
      <c r="C31" s="17" t="n">
        <v>1500</v>
      </c>
      <c r="D31" s="16" t="n">
        <v>0.025</v>
      </c>
      <c r="E31" s="18" t="inlineStr">
        <is>
          <t>S/1,500 a S/19,999.99</t>
        </is>
      </c>
    </row>
    <row r="32">
      <c r="A32" s="15" t="inlineStr">
        <is>
          <t>Caja Arequipa</t>
        </is>
      </c>
      <c r="B32" s="15" t="inlineStr">
        <is>
          <t>Campaña Caja Digital</t>
        </is>
      </c>
      <c r="C32" s="17" t="n">
        <v>20000</v>
      </c>
      <c r="D32" s="16" t="n">
        <v>0.035</v>
      </c>
      <c r="E32" s="18" t="inlineStr">
        <is>
          <t>S/20,000 a S/49,999.99</t>
        </is>
      </c>
    </row>
    <row r="33">
      <c r="A33" s="15" t="inlineStr">
        <is>
          <t>Caja Arequipa</t>
        </is>
      </c>
      <c r="B33" s="15" t="inlineStr">
        <is>
          <t>Campaña Caja Digital</t>
        </is>
      </c>
      <c r="C33" s="17" t="n">
        <v>50000</v>
      </c>
      <c r="D33" s="16" t="n">
        <v>0.045</v>
      </c>
      <c r="E33" s="18" t="inlineStr">
        <is>
          <t>Desde S/50,000</t>
        </is>
      </c>
    </row>
    <row r="34">
      <c r="A34" s="15" t="inlineStr">
        <is>
          <t>Caja Piura</t>
        </is>
      </c>
      <c r="B34" s="15" t="inlineStr">
        <is>
          <t>Cuenta Light – Ahorra y gana más</t>
        </is>
      </c>
      <c r="C34" s="17" t="n">
        <v>0</v>
      </c>
      <c r="D34" s="16" t="n">
        <v>0</v>
      </c>
      <c r="E34" s="18" t="inlineStr">
        <is>
          <t>Tasa del rango inferior: consultar TyC</t>
        </is>
      </c>
    </row>
    <row r="35">
      <c r="A35" s="15" t="inlineStr">
        <is>
          <t>Caja Piura</t>
        </is>
      </c>
      <c r="B35" s="15" t="inlineStr">
        <is>
          <t>Cuenta Light – Ahorra y gana más</t>
        </is>
      </c>
      <c r="C35" s="17" t="n">
        <v>50001</v>
      </c>
      <c r="D35" s="16" t="n">
        <v>0.045</v>
      </c>
      <c r="E35" s="18" t="inlineStr">
        <is>
          <t>Tasa máxima reconstruida del video</t>
        </is>
      </c>
    </row>
    <row r="36">
      <c r="A36" s="15" t="inlineStr">
        <is>
          <t>Financiera Oh! / SIP</t>
        </is>
      </c>
      <c r="B36" s="15" t="inlineStr">
        <is>
          <t>AhorraMás Soles</t>
        </is>
      </c>
      <c r="C36" s="17" t="n">
        <v>0</v>
      </c>
      <c r="D36" s="16" t="n">
        <v>0.04</v>
      </c>
      <c r="E36" s="18" t="inlineStr">
        <is>
          <t>Desde el primer sol</t>
        </is>
      </c>
    </row>
  </sheetData>
  <autoFilter ref="A4:E36"/>
  <mergeCells count="2">
    <mergeCell ref="A2:E2"/>
    <mergeCell ref="A1:E1"/>
  </mergeCells>
  <conditionalFormatting sqref="D5:D36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07/08/2026 03:26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</t>
        </is>
      </c>
      <c r="C11" s="25" t="n">
        <v>0.056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Banco Falabella</t>
        </is>
      </c>
      <c r="C14" s="25" t="n">
        <v>0.05</v>
      </c>
      <c r="D14" s="26">
        <f>(1+C14)^(1/12)-1</f>
        <v/>
      </c>
      <c r="E14" s="27">
        <f>MIN($B$5,100000.0)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Santander Consumer Bank</t>
        </is>
      </c>
      <c r="C15" s="25" t="n">
        <v>0.0485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Banco Alfin</t>
        </is>
      </c>
      <c r="C16" s="25" t="n">
        <v>0.048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0.0475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Compartamos Financiera</t>
        </is>
      </c>
      <c r="C18" s="25" t="n">
        <v>0.046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de Comercio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Banco Ripley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Financiera Efectiva (Efectibank)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Banco GNB Perú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Arequipa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Caja Piura</t>
        </is>
      </c>
      <c r="C24" s="25" t="n">
        <v>0.045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Financiera Oh! / SIP</t>
        </is>
      </c>
      <c r="C25" s="25" t="n">
        <v>0.04</v>
      </c>
      <c r="D25" s="26">
        <f>(1+C25)^(1/12)-1</f>
        <v/>
      </c>
      <c r="E25" s="27">
        <f>$B$5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07/08/2026 03:26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2023-08</t>
        </is>
      </c>
      <c r="B5" s="25" t="n">
        <v>0.0775</v>
      </c>
      <c r="C5" s="24" t="n"/>
    </row>
    <row r="6">
      <c r="A6" s="24" t="inlineStr">
        <is>
          <t>2023-09</t>
        </is>
      </c>
      <c r="B6" s="25" t="n">
        <v>0.075</v>
      </c>
      <c r="C6" s="29">
        <f>(B6-B5)*100</f>
        <v/>
      </c>
    </row>
    <row r="7">
      <c r="A7" s="24" t="inlineStr">
        <is>
          <t>2023-10</t>
        </is>
      </c>
      <c r="B7" s="25" t="n">
        <v>0.0725</v>
      </c>
      <c r="C7" s="29">
        <f>(B7-B6)*100</f>
        <v/>
      </c>
    </row>
    <row r="8">
      <c r="A8" s="24" t="inlineStr">
        <is>
          <t>2023-11</t>
        </is>
      </c>
      <c r="B8" s="25" t="n">
        <v>0.07000000000000001</v>
      </c>
      <c r="C8" s="29">
        <f>(B8-B7)*100</f>
        <v/>
      </c>
    </row>
    <row r="9">
      <c r="A9" s="24" t="inlineStr">
        <is>
          <t>2023-12</t>
        </is>
      </c>
      <c r="B9" s="25" t="n">
        <v>0.0675</v>
      </c>
      <c r="C9" s="29">
        <f>(B9-B8)*100</f>
        <v/>
      </c>
    </row>
    <row r="10">
      <c r="A10" s="24" t="inlineStr">
        <is>
          <t>2024-01</t>
        </is>
      </c>
      <c r="B10" s="25" t="n">
        <v>0.065</v>
      </c>
      <c r="C10" s="29">
        <f>(B10-B9)*100</f>
        <v/>
      </c>
    </row>
    <row r="11">
      <c r="A11" s="24" t="inlineStr">
        <is>
          <t>2024-02</t>
        </is>
      </c>
      <c r="B11" s="25" t="n">
        <v>0.0625</v>
      </c>
      <c r="C11" s="29">
        <f>(B11-B10)*100</f>
        <v/>
      </c>
    </row>
    <row r="12">
      <c r="A12" s="24" t="inlineStr">
        <is>
          <t>2024-03</t>
        </is>
      </c>
      <c r="B12" s="25" t="n">
        <v>0.0625</v>
      </c>
      <c r="C12" s="29">
        <f>(B12-B11)*100</f>
        <v/>
      </c>
    </row>
    <row r="13">
      <c r="A13" s="24" t="inlineStr">
        <is>
          <t>2024-04</t>
        </is>
      </c>
      <c r="B13" s="25" t="n">
        <v>0.06</v>
      </c>
      <c r="C13" s="29">
        <f>(B13-B12)*100</f>
        <v/>
      </c>
    </row>
    <row r="14">
      <c r="A14" s="24" t="inlineStr">
        <is>
          <t>2024-05</t>
        </is>
      </c>
      <c r="B14" s="25" t="n">
        <v>0.0575</v>
      </c>
      <c r="C14" s="29">
        <f>(B14-B13)*100</f>
        <v/>
      </c>
    </row>
    <row r="15">
      <c r="A15" s="24" t="inlineStr">
        <is>
          <t>2024-06</t>
        </is>
      </c>
      <c r="B15" s="25" t="n">
        <v>0.0575</v>
      </c>
      <c r="C15" s="29">
        <f>(B15-B14)*100</f>
        <v/>
      </c>
    </row>
    <row r="16">
      <c r="A16" s="24" t="inlineStr">
        <is>
          <t>2024-07</t>
        </is>
      </c>
      <c r="B16" s="25" t="n">
        <v>0.0575</v>
      </c>
      <c r="C16" s="29">
        <f>(B16-B15)*100</f>
        <v/>
      </c>
    </row>
    <row r="17">
      <c r="A17" s="24" t="inlineStr">
        <is>
          <t>2024-08</t>
        </is>
      </c>
      <c r="B17" s="25" t="n">
        <v>0.055</v>
      </c>
      <c r="C17" s="29">
        <f>(B17-B16)*100</f>
        <v/>
      </c>
    </row>
    <row r="18">
      <c r="A18" s="24" t="inlineStr">
        <is>
          <t>2024-09</t>
        </is>
      </c>
      <c r="B18" s="25" t="n">
        <v>0.0525</v>
      </c>
      <c r="C18" s="29">
        <f>(B18-B17)*100</f>
        <v/>
      </c>
    </row>
    <row r="19">
      <c r="A19" s="24" t="inlineStr">
        <is>
          <t>2024-10</t>
        </is>
      </c>
      <c r="B19" s="25" t="n">
        <v>0.0525</v>
      </c>
      <c r="C19" s="29">
        <f>(B19-B18)*100</f>
        <v/>
      </c>
    </row>
    <row r="20">
      <c r="A20" s="24" t="inlineStr">
        <is>
          <t>2024-11</t>
        </is>
      </c>
      <c r="B20" s="25" t="n">
        <v>0.05</v>
      </c>
      <c r="C20" s="29">
        <f>(B20-B19)*100</f>
        <v/>
      </c>
    </row>
    <row r="21">
      <c r="A21" s="24" t="inlineStr">
        <is>
          <t>2024-12</t>
        </is>
      </c>
      <c r="B21" s="25" t="n">
        <v>0.05</v>
      </c>
      <c r="C21" s="29">
        <f>(B21-B20)*100</f>
        <v/>
      </c>
    </row>
    <row r="22">
      <c r="A22" s="24" t="inlineStr">
        <is>
          <t>2025-01</t>
        </is>
      </c>
      <c r="B22" s="25" t="n">
        <v>0.0475</v>
      </c>
      <c r="C22" s="29">
        <f>(B22-B21)*100</f>
        <v/>
      </c>
    </row>
    <row r="23">
      <c r="A23" s="24" t="inlineStr">
        <is>
          <t>2025-02</t>
        </is>
      </c>
      <c r="B23" s="25" t="n">
        <v>0.0475</v>
      </c>
      <c r="C23" s="29">
        <f>(B23-B22)*100</f>
        <v/>
      </c>
    </row>
    <row r="24">
      <c r="A24" s="24" t="inlineStr">
        <is>
          <t>2025-03</t>
        </is>
      </c>
      <c r="B24" s="25" t="n">
        <v>0.0475</v>
      </c>
      <c r="C24" s="29">
        <f>(B24-B23)*100</f>
        <v/>
      </c>
    </row>
    <row r="25">
      <c r="A25" s="24" t="inlineStr">
        <is>
          <t>2025-04</t>
        </is>
      </c>
      <c r="B25" s="25" t="n">
        <v>0.0475</v>
      </c>
      <c r="C25" s="29">
        <f>(B25-B24)*100</f>
        <v/>
      </c>
    </row>
    <row r="26">
      <c r="A26" s="24" t="inlineStr">
        <is>
          <t>2025-05</t>
        </is>
      </c>
      <c r="B26" s="25" t="n">
        <v>0.045</v>
      </c>
      <c r="C26" s="29">
        <f>(B26-B25)*100</f>
        <v/>
      </c>
    </row>
    <row r="27">
      <c r="A27" s="24" t="inlineStr">
        <is>
          <t>2025-06</t>
        </is>
      </c>
      <c r="B27" s="25" t="n">
        <v>0.045</v>
      </c>
      <c r="C27" s="29">
        <f>(B27-B26)*100</f>
        <v/>
      </c>
    </row>
    <row r="28">
      <c r="A28" s="24" t="inlineStr">
        <is>
          <t>2025-07</t>
        </is>
      </c>
      <c r="B28" s="25" t="n">
        <v>0.045</v>
      </c>
      <c r="C28" s="29">
        <f>(B28-B27)*100</f>
        <v/>
      </c>
    </row>
    <row r="29">
      <c r="A29" s="24" t="inlineStr">
        <is>
          <t>2025-08</t>
        </is>
      </c>
      <c r="B29" s="25" t="n">
        <v>0.045</v>
      </c>
      <c r="C29" s="29">
        <f>(B29-B28)*100</f>
        <v/>
      </c>
    </row>
    <row r="30">
      <c r="A30" s="24" t="inlineStr">
        <is>
          <t>2025-09</t>
        </is>
      </c>
      <c r="B30" s="25" t="n">
        <v>0.0425</v>
      </c>
      <c r="C30" s="29">
        <f>(B30-B29)*100</f>
        <v/>
      </c>
    </row>
    <row r="31">
      <c r="A31" s="24" t="inlineStr">
        <is>
          <t>2025-10</t>
        </is>
      </c>
      <c r="B31" s="25" t="n">
        <v>0.0425</v>
      </c>
      <c r="C31" s="29">
        <f>(B31-B30)*100</f>
        <v/>
      </c>
    </row>
    <row r="32">
      <c r="A32" s="24" t="inlineStr">
        <is>
          <t>2025-11</t>
        </is>
      </c>
      <c r="B32" s="25" t="n">
        <v>0.0425</v>
      </c>
      <c r="C32" s="29">
        <f>(B32-B31)*100</f>
        <v/>
      </c>
    </row>
    <row r="33">
      <c r="A33" s="24" t="inlineStr">
        <is>
          <t>2025-12</t>
        </is>
      </c>
      <c r="B33" s="25" t="n">
        <v>0.0425</v>
      </c>
      <c r="C33" s="29">
        <f>(B33-B32)*100</f>
        <v/>
      </c>
    </row>
    <row r="34">
      <c r="A34" s="24" t="inlineStr">
        <is>
          <t>2026-01</t>
        </is>
      </c>
      <c r="B34" s="25" t="n">
        <v>0.0425</v>
      </c>
      <c r="C34" s="29">
        <f>(B34-B33)*100</f>
        <v/>
      </c>
    </row>
    <row r="35">
      <c r="A35" s="24" t="inlineStr">
        <is>
          <t>2026-02</t>
        </is>
      </c>
      <c r="B35" s="25" t="n">
        <v>0.0425</v>
      </c>
      <c r="C35" s="29">
        <f>(B35-B34)*100</f>
        <v/>
      </c>
    </row>
    <row r="36">
      <c r="A36" s="24" t="inlineStr">
        <is>
          <t>2026-03</t>
        </is>
      </c>
      <c r="B36" s="25" t="n">
        <v>0.0425</v>
      </c>
      <c r="C36" s="29">
        <f>(B36-B35)*100</f>
        <v/>
      </c>
    </row>
    <row r="37">
      <c r="A37" s="24" t="inlineStr">
        <is>
          <t>2026-04</t>
        </is>
      </c>
      <c r="B37" s="25" t="n">
        <v>0.0425</v>
      </c>
      <c r="C37" s="29">
        <f>(B37-B36)*100</f>
        <v/>
      </c>
    </row>
    <row r="38">
      <c r="A38" s="24" t="inlineStr">
        <is>
          <t>2026-05</t>
        </is>
      </c>
      <c r="B38" s="25" t="n">
        <v>0.0425</v>
      </c>
      <c r="C38" s="29">
        <f>(B38-B37)*100</f>
        <v/>
      </c>
    </row>
    <row r="39">
      <c r="A39" s="24" t="inlineStr">
        <is>
          <t>2026-06</t>
        </is>
      </c>
      <c r="B39" s="25" t="n">
        <v>0.0425</v>
      </c>
      <c r="C39" s="29">
        <f>(B39-B38)*100</f>
        <v/>
      </c>
    </row>
    <row r="40">
      <c r="A40" s="24" t="inlineStr">
        <is>
          <t>2026-07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07/08/2026 03:26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Actualizado frente al video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en tarifario oficial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en tarifario de campaña</t>
        </is>
      </c>
      <c r="E15" s="19" t="inlineStr">
        <is>
          <t>https://confianza.pe/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5" t="inlineStr">
        <is>
          <t>Sí</t>
        </is>
      </c>
      <c r="D16" s="18" t="inlineStr">
        <is>
          <t>Verificado en web oficial</t>
        </is>
      </c>
      <c r="E16" s="19" t="inlineStr">
        <is>
          <t>https://www.bancofalabella.pe/cuentas/cuenta-ahorro-clasico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5" t="inlineStr">
        <is>
          <t>Sí</t>
        </is>
      </c>
      <c r="D17" s="18" t="inlineStr">
        <is>
          <t>Tasa verificada; fecha final por confirmar</t>
        </is>
      </c>
      <c r="E17" s="19" t="inlineStr">
        <is>
          <t>https://www.santanderconsumer.com.pe/personas/ahorros/cuenta-imparable-santander</t>
        </is>
      </c>
    </row>
    <row r="18">
      <c r="A18" s="15" t="inlineStr">
        <is>
          <t>Banco Alfin</t>
        </is>
      </c>
      <c r="B18" s="15" t="inlineStr">
        <is>
          <t>Ahorro Meta</t>
        </is>
      </c>
      <c r="C18" s="15" t="inlineStr">
        <is>
          <t>Sí</t>
        </is>
      </c>
      <c r="D18" s="18" t="inlineStr">
        <is>
          <t>Verificado en web oficial</t>
        </is>
      </c>
      <c r="E18" s="19" t="inlineStr">
        <is>
          <t>https://www.alfinbanco.pe/ahorros/ahorrometa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Con reserva: verificar vigencia</t>
        </is>
      </c>
      <c r="E19" s="19" t="inlineStr">
        <is>
          <t>https://www.cmac-cusco.com.pe/</t>
        </is>
      </c>
    </row>
    <row r="20">
      <c r="A20" s="15" t="inlineStr">
        <is>
          <t>Compartamos Financiera</t>
        </is>
      </c>
      <c r="B20" s="15" t="inlineStr">
        <is>
          <t>Cuenta WOW</t>
        </is>
      </c>
      <c r="C20" s="15" t="inlineStr">
        <is>
          <t>Sí</t>
        </is>
      </c>
      <c r="D20" s="18" t="inlineStr">
        <is>
          <t>Verificado en campaña oficial</t>
        </is>
      </c>
      <c r="E20" s="19" t="inlineStr">
        <is>
          <t>https://productos.compartamos.com.pe/</t>
        </is>
      </c>
    </row>
    <row r="21">
      <c r="A21" s="15" t="inlineStr">
        <is>
          <t>Banco de Comercio</t>
        </is>
      </c>
      <c r="B21" s="15" t="inlineStr">
        <is>
          <t>Cuenta de Ahorros Soles – promoción digital</t>
        </is>
      </c>
      <c r="C21" s="15" t="inlineStr">
        <is>
          <t>Sí</t>
        </is>
      </c>
      <c r="D21" s="18" t="inlineStr">
        <is>
          <t>Tasa y vigencia verificadas; rango por confirmar</t>
        </is>
      </c>
      <c r="E21" s="19" t="inlineStr">
        <is>
          <t>https://www.bancom.pe/personas/promociones/cuenta-ahorro</t>
        </is>
      </c>
    </row>
    <row r="22">
      <c r="A22" s="15" t="inlineStr">
        <is>
          <t>Banco Ripley</t>
        </is>
      </c>
      <c r="B22" s="15" t="inlineStr">
        <is>
          <t>Cuenta Ahorro Plus</t>
        </is>
      </c>
      <c r="C22" s="15" t="inlineStr">
        <is>
          <t>Sí</t>
        </is>
      </c>
      <c r="D22" s="18" t="inlineStr">
        <is>
          <t>Verificar antes de abrir</t>
        </is>
      </c>
      <c r="E22" s="19" t="inlineStr">
        <is>
          <t>https://www.bancoripley.com.pe/ahorros/cuenta-ahorros.html</t>
        </is>
      </c>
    </row>
    <row r="23">
      <c r="A23" s="15" t="inlineStr">
        <is>
          <t>Financiera Efectiva (Efectibank)</t>
        </is>
      </c>
      <c r="B23" s="15" t="inlineStr">
        <is>
          <t>Cuenta de Ahorro Digital</t>
        </is>
      </c>
      <c r="C23" s="15" t="inlineStr">
        <is>
          <t>Sí</t>
        </is>
      </c>
      <c r="D23" s="18" t="inlineStr">
        <is>
          <t>Verificado en web oficial</t>
        </is>
      </c>
      <c r="E23" s="19" t="inlineStr">
        <is>
          <t>https://www.efectiva.com.pe/ahorros/cuenta-de-ahorros/</t>
        </is>
      </c>
    </row>
    <row r="24">
      <c r="A24" s="15" t="inlineStr">
        <is>
          <t>Banco GNB Perú</t>
        </is>
      </c>
      <c r="B24" s="15" t="inlineStr">
        <is>
          <t>Cuenta Ahorro Rolando</t>
        </is>
      </c>
      <c r="C24" s="15" t="inlineStr">
        <is>
          <t>Sí</t>
        </is>
      </c>
      <c r="D24" s="18" t="inlineStr">
        <is>
          <t>Verificado en web oficial</t>
        </is>
      </c>
      <c r="E24" s="19" t="inlineStr">
        <is>
          <t>https://www.bancognb.com.pe/inicio/banca-personas/cuentas/cuenta-rolando</t>
        </is>
      </c>
    </row>
    <row r="25">
      <c r="A25" s="15" t="inlineStr">
        <is>
          <t>Caja Arequipa</t>
        </is>
      </c>
      <c r="B25" s="15" t="inlineStr">
        <is>
          <t>Campaña Caja Digital</t>
        </is>
      </c>
      <c r="C25" s="15" t="inlineStr">
        <is>
          <t>Sí</t>
        </is>
      </c>
      <c r="D25" s="18" t="inlineStr">
        <is>
          <t>Verificado en reglamento oficial</t>
        </is>
      </c>
      <c r="E25" s="19" t="inlineStr">
        <is>
          <t>https://www.cajaarequipa.pe/</t>
        </is>
      </c>
    </row>
    <row r="26">
      <c r="A26" s="15" t="inlineStr">
        <is>
          <t>Caja Piura</t>
        </is>
      </c>
      <c r="B26" s="15" t="inlineStr">
        <is>
          <t>Cuenta Light – Ahorra y gana más</t>
        </is>
      </c>
      <c r="C26" s="15" t="inlineStr">
        <is>
          <t>Sí</t>
        </is>
      </c>
      <c r="D26" s="18" t="inlineStr">
        <is>
          <t>Tasa máxima verificada; umbral reconstruido</t>
        </is>
      </c>
      <c r="E26" s="19" t="inlineStr">
        <is>
          <t>https://www.cajapiura.pe/campaigns-sweepstakes/details/gana-mas-con-cuenta-light</t>
        </is>
      </c>
    </row>
    <row r="27">
      <c r="A27" s="15" t="inlineStr">
        <is>
          <t>Financiera Oh! / SIP</t>
        </is>
      </c>
      <c r="B27" s="15" t="inlineStr">
        <is>
          <t>AhorraMás Soles</t>
        </is>
      </c>
      <c r="C27" s="15" t="inlineStr">
        <is>
          <t>Sí</t>
        </is>
      </c>
      <c r="D27" s="18" t="inlineStr">
        <is>
          <t>Verificado en fuente oficial</t>
        </is>
      </c>
      <c r="E27" s="19" t="inlineStr">
        <is>
          <t>https://sip.pe/productos/ahorramas-soles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07/08/2026 03:26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pago promocional según campaña</t>
        </is>
      </c>
      <c r="F5" s="18" t="inlineStr">
        <is>
          <t>Nuevo cliente; primera Cuenta Digital; mantener ≥ S/500. La tasa aplica solo hasta S/3,000.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La TREA promocional no se aplica a todo el saldo: máximo remunerado S/3,000; el exceso recibe la tasa regular indicada por el banco.</t>
        </is>
      </c>
    </row>
    <row r="6" ht="58" customHeight="1">
      <c r="A6" s="15" t="inlineStr">
        <is>
          <t>Financiera SURGIR</t>
        </is>
      </c>
      <c r="B6" s="15" t="inlineStr">
        <is>
          <t>Cuenta de Ahorro Gold Select</t>
        </is>
      </c>
      <c r="C6" s="16" t="n">
        <v>0.056</v>
      </c>
      <c r="D6" s="18" t="inlineStr">
        <is>
          <t>Presencial</t>
        </is>
      </c>
      <c r="E6" s="18" t="inlineStr">
        <is>
          <t>Vigente en la página oficial consultada; confirmar tarifario el día de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Diferencia relevante: el video muestra 5.25%, mientras la página oficial consultada publica hasta 5.60%.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consultado; verificar versión vigente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01/08/2026 al 31/08/2026</t>
        </is>
      </c>
      <c r="F8" s="18" t="inlineStr">
        <is>
          <t>Apertura por canal digital; saldo de referencia para la tasa máxima: S/10,000.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La tasa promocional depende del canal digital y del rango de saldo establecido en el tarifario.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0.05</v>
      </c>
      <c r="D9" s="18" t="inlineStr">
        <is>
          <t>Presencial y digital</t>
        </is>
      </c>
      <c r="E9" s="18" t="inlineStr">
        <is>
          <t>Promoción Cuenta Sueldo del 01/07/2026 al 31/08/2026</t>
        </is>
      </c>
      <c r="F9" s="18" t="inlineStr">
        <is>
          <t>Recibir remuneración ≥ S/500 en la cuenta indicada por el banco. 5% hasta S/100,000; exceso a tasa regular.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La tasa regular publicada para la Cuenta Ahorro Clásico es menor; el 5% exige abono de sueldo y tiene tope de saldo.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Tasa publicada en la web oficial; el video muestra vigencia hasta 31/03/2027</t>
        </is>
      </c>
      <c r="F10" s="18" t="inlineStr">
        <is>
          <t>Apertura 100% online y saldo desde S/500.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El documento enlazado corresponde a una campaña complementaria; revisar también cartilla y tarifario antes de contratar.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Aperturas web 07/07/2026–15/08/2026; tasa promocional hasta 15/09/2026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tasa depende del canal de apertura. El simulador usa 4.80% como escenario web.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0.0475</v>
      </c>
      <c r="D12" s="18" t="inlineStr">
        <is>
          <t>Digital</t>
        </is>
      </c>
      <c r="E12" s="18" t="inlineStr">
        <is>
          <t>La tasa aparece en el video; no se localizó un TyC oficial de agosto 2026 durante la verificación</t>
        </is>
      </c>
      <c r="F12" s="18" t="inlineStr">
        <is>
          <t>Tasa máxima reconstruida del video; condiciones exactas deben confirmarse en la campaña vigente.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El PDF enlazado es una campaña oficial anterior localizada como referencia. No debe asumirse que sus condiciones siguen vigentes en agosto.</t>
        </is>
      </c>
    </row>
    <row r="13" ht="58" customHeight="1">
      <c r="A13" s="15" t="inlineStr">
        <is>
          <t>Compartamos Financiera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del 01/07/2026 al 31/08/2026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El ITF aplicable es 0.005%, conforme a la regulación y condiciones informadas por la entidad.</t>
        </is>
      </c>
    </row>
    <row r="14" ht="58" customHeight="1">
      <c r="A14" s="15" t="inlineStr">
        <is>
          <t>Banco de Comercio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Tasas de campaña 3.50% y 4.50% hasta el 31/12/2026</t>
        </is>
      </c>
      <c r="F14" s="18" t="inlineStr">
        <is>
          <t>La tasa depende del rango/condición definida en la campaña; revisar TyC antes de depositar.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Esta entidad se incorporó como mejor reconstrucción de una de las columnas ocultas I–K del video.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campaña indicada terminó el 31/07/2026; desde 01/08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Se mantiene en el comparativo porque aparece en el video, pero la tasa debe confirmarse en el tarifario vigente de agosto.</t>
        </is>
      </c>
    </row>
    <row r="16" ht="58" customHeight="1">
      <c r="A16" s="15" t="inlineStr">
        <is>
          <t>Financiera Efectiva (Efectibank)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Vigente según página oficial consultada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web del producto enlaza contrato multiproducto, cartilla, tarifario y fórmulas.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Vigente según página oficial consultada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La capitalización diaria es una característica diferenciadora; el simulador anualiza mediante TREA.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Aperturas 24/07/2026–03/09/2026; tasa promocional hasta 31/12/2026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apertura debe realizarse por los canales digitales autorizados; no aplica a aperturas en agencia.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La web oficial publica 'hasta 4.5%' y apertura desde S/100; el rango exacto de la tasa máxima debe revisarse en TyC.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Vigente según cartilla y página oficial consultadas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El contrato contempla cierre automático en determinadas circunstancias de inactividad; revisar cláusulas completas.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07/08/2026 03:26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07/08/2026 03:26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/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/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07/08/2026 03:26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julio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</t>
        </is>
      </c>
      <c r="E9" s="18" t="inlineStr">
        <is>
          <t>Verificado en web oficial</t>
        </is>
      </c>
      <c r="F9" s="18" t="inlineStr">
        <is>
          <t>La TREA promocional no se aplica a todo el saldo: máximo remunerado S/3,000; el exceso recibe la tasa regular indicada por el banco.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</sheetData>
  <autoFilter ref="A4:F28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2026-08-07T03:26:59Z</dcterms:created>
  <dcterms:modified xsi:type="dcterms:W3CDTF">2026-08-07T03:26:59Z</dcterms:modified>
</cp:coreProperties>
</file>