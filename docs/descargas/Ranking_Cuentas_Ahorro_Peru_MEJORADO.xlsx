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TASA'!$A$4:$E$40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BCRP'!$A$5:$A$35</f>
            </numRef>
          </cat>
          <val>
            <numRef>
              <f>'TASA BCRP'!$B$5:$B$35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2026-09-02   ·   Datos generados el 30/10/2026 02:23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0.04903125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30/10/2026 02:23.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2026-09-02. Cifras en formato numerico corregido. No constituye recomendacion financiera.   ·   Datos generados el 30/10/2026 02:23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3000</v>
      </c>
      <c r="H5" s="18" t="inlineStr">
        <is>
          <t>Nuevo cliente; primera Cuenta Digital; mantener saldo promedio ≥ S/500. La TREA de 9.7% aplica solo hasta S/3,000; el exceso recibe 0%.</t>
        </is>
      </c>
      <c r="I5" s="18" t="inlineStr">
        <is>
          <t>Aperturas del 01/08/2026 al 31/08/2026; sin campaña de setiembre publicada al cierre de este corte</t>
        </is>
      </c>
      <c r="J5" s="15" t="inlineStr">
        <is>
          <t>Verificado en web oficial el 02/09/2026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 (Santander Financiamientos)</t>
        </is>
      </c>
      <c r="C6" s="15" t="inlineStr">
        <is>
          <t>Cuenta de Ahorro Gold Select</t>
        </is>
      </c>
      <c r="D6" s="16" t="n">
        <v>0.0525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Tasa de tarifario publicada en la web oficial, sin fecha de término; confirmar el día de la apertura</t>
        </is>
      </c>
      <c r="J6" s="15" t="inlineStr">
        <is>
          <t>Verificado en web oficial el 02/09/2026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vigente, sin fecha de término publicada; verificar la versión al contratar</t>
        </is>
      </c>
      <c r="J7" s="15" t="inlineStr">
        <is>
          <t>Verificado el 02/09/2026 (tarifario publicado por la entidad)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I8" s="18" t="inlineStr">
        <is>
          <t>Campaña del 01/09/2026 al 30/09/2026 (tarifario T008-028)</t>
        </is>
      </c>
      <c r="J8" s="15" t="inlineStr">
        <is>
          <t>Verificado el 02/09/2026 en el tarifario oficial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Santander Consumer Bank</t>
        </is>
      </c>
      <c r="C9" s="15" t="inlineStr">
        <is>
          <t>Cuenta Imparable</t>
        </is>
      </c>
      <c r="D9" s="16" t="n">
        <v>0.0485</v>
      </c>
      <c r="E9" s="15" t="inlineStr">
        <is>
          <t>Digital</t>
        </is>
      </c>
      <c r="F9" s="17" t="n">
        <v>500</v>
      </c>
      <c r="G9" s="17" t="n">
        <v>500</v>
      </c>
      <c r="H9" s="18" t="inlineStr">
        <is>
          <t>Depósitos desde S/500 y apertura por canal remoto (abretucuenta.santanderconsumer.com.pe).</t>
        </is>
      </c>
      <c r="I9" s="18" t="inlineStr">
        <is>
          <t>TREA preferencial del 01/05/2026 al 31/12/2026; desde el 01/01/2027 rige el tarifario vigente</t>
        </is>
      </c>
      <c r="J9" s="15" t="inlineStr">
        <is>
          <t>Verificado en web oficial el 02/09/2026</t>
        </is>
      </c>
      <c r="K9" s="15" t="inlineStr">
        <is>
          <t>A- (mostrada en video)</t>
        </is>
      </c>
      <c r="L9" s="15" t="inlineStr">
        <is>
          <t>Grupo Santander</t>
        </is>
      </c>
      <c r="M9" s="15" t="inlineStr">
        <is>
          <t>Sí</t>
        </is>
      </c>
      <c r="N9" s="19" t="inlineStr">
        <is>
          <t>https://www.santanderconsumer.com.pe/personas/ahorros/cuenta-imparable-santander</t>
        </is>
      </c>
    </row>
    <row r="10" ht="42" customHeight="1">
      <c r="A10" s="15" t="n">
        <v>6</v>
      </c>
      <c r="B10" s="15" t="inlineStr">
        <is>
          <t>Banco Alfin</t>
        </is>
      </c>
      <c r="C10" s="15" t="inlineStr">
        <is>
          <t>Ahorro Meta</t>
        </is>
      </c>
      <c r="D10" s="16" t="n">
        <v>0.048</v>
      </c>
      <c r="E10" s="15" t="inlineStr">
        <is>
          <t>Digital / web</t>
        </is>
      </c>
      <c r="F10" s="17" t="n">
        <v>100</v>
      </c>
      <c r="G10" s="17" t="n">
        <v>100</v>
      </c>
      <c r="H10" s="18" t="inlineStr">
        <is>
          <t>Apertura web para 4.80%; apertura en agencia: 4.50%. Desde 16/09/2026 se aplica tasa regular publicada.</t>
        </is>
      </c>
      <c r="I10" s="18" t="inlineStr">
        <is>
          <t>Ventana de aperturas web del 07/07/2026 al 15/08/2026; la tasa de 4.80% se mantiene hasta el 15 de setiembre de 2026 y desde el día siguiente baja a 4.00%</t>
        </is>
      </c>
      <c r="J10" s="15" t="inlineStr">
        <is>
          <t>Verificado en web oficial el 02/09/2026</t>
        </is>
      </c>
      <c r="K10" s="15" t="inlineStr">
        <is>
          <t>A- (mostrada en video)</t>
        </is>
      </c>
      <c r="L10" s="15" t="inlineStr">
        <is>
          <t>Grupo Coril (mostrado en video)</t>
        </is>
      </c>
      <c r="M10" s="15" t="inlineStr">
        <is>
          <t>Sí</t>
        </is>
      </c>
      <c r="N10" s="19" t="inlineStr">
        <is>
          <t>https://www.alfinbanco.pe/ahorros/ahorrometa</t>
        </is>
      </c>
    </row>
    <row r="11" ht="42" customHeight="1">
      <c r="A11" s="15" t="n">
        <v>7</v>
      </c>
      <c r="B11" s="15" t="inlineStr">
        <is>
          <t>Compartamos Banco</t>
        </is>
      </c>
      <c r="C11" s="15" t="inlineStr">
        <is>
          <t>Cuenta WOW</t>
        </is>
      </c>
      <c r="D11" s="16" t="n">
        <v>0.046</v>
      </c>
      <c r="E11" s="15" t="inlineStr">
        <is>
          <t>Digital o agencia</t>
        </is>
      </c>
      <c r="F11" s="17" t="n">
        <v>300</v>
      </c>
      <c r="G11" s="17" t="n">
        <v>300</v>
      </c>
      <c r="H11" s="18" t="inlineStr">
        <is>
          <t>Cuenta nueva; saldo medio de referencia S/300 para evitar mantenimiento.</t>
        </is>
      </c>
      <c r="I11" s="18" t="inlineStr">
        <is>
          <t>Campaña renovada, vigente al cierre de este corte, sin fecha de término publicada</t>
        </is>
      </c>
      <c r="J11" s="15" t="inlineStr">
        <is>
          <t>Verificado el 02/09/2026 (web oficial y contraste con comparabien)</t>
        </is>
      </c>
      <c r="K11" s="15" t="inlineStr">
        <is>
          <t>No visible en las capturas</t>
        </is>
      </c>
      <c r="L11" s="15" t="inlineStr">
        <is>
          <t>Gentera</t>
        </is>
      </c>
      <c r="M11" s="15" t="inlineStr">
        <is>
          <t>Sí</t>
        </is>
      </c>
      <c r="N11" s="19" t="inlineStr">
        <is>
          <t>https://productos.compartamos.com.pe/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Apertura por Wayki App; mantener saldo de cierre diario ≥ S/300 para conservar la tasa de campaña.</t>
        </is>
      </c>
      <c r="I12" s="18" t="inlineStr">
        <is>
          <t>Último tarifario digital publicado (Ahorra y Gana, Wayki App): tasa preferencial hasta el 31/03/2026. Sin campaña vigente localizada en setiembre de 2026</t>
        </is>
      </c>
      <c r="J12" s="15" t="inlineStr">
        <is>
          <t>No verificado: no se localizó tarifario de campaña vigente en setiembre 2026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Bancom (Banco de Comercio)</t>
        </is>
      </c>
      <c r="C13" s="15" t="inlineStr">
        <is>
          <t>Cuenta de Ahorros Soles – promoción digital</t>
        </is>
      </c>
      <c r="D13" s="16" t="n">
        <v>0.045</v>
      </c>
      <c r="E13" s="15" t="inlineStr">
        <is>
          <t>Digital</t>
        </is>
      </c>
      <c r="F13" s="17" t="n">
        <v>0</v>
      </c>
      <c r="G13" s="17" t="n">
        <v>0</v>
      </c>
      <c r="H13" s="18" t="inlineStr">
        <is>
          <t>Cuenta Ahorro Preferencial en soles: 4.50% TREA por apertura en canal digital y 3.50% por apertura en agencia.</t>
        </is>
      </c>
      <c r="I13" s="18" t="inlineStr">
        <is>
          <t>Ventana de aperturas del 01/08/2026 al 31/08/2026 o hasta agotar stock; para las cuentas ya abiertas las tasas de campaña de 3.50% y 4.50% rigen hasta el 31 de enero de 2027</t>
        </is>
      </c>
      <c r="J13" s="15" t="inlineStr">
        <is>
          <t>Verificado en web oficial el 02/09/2026</t>
        </is>
      </c>
      <c r="K13" s="15" t="inlineStr">
        <is>
          <t>No visible en las capturas</t>
        </is>
      </c>
      <c r="L13" s="15" t="inlineStr">
        <is>
          <t>Banco de Comercio</t>
        </is>
      </c>
      <c r="M13" s="15" t="inlineStr">
        <is>
          <t>Sí</t>
        </is>
      </c>
      <c r="N13" s="19" t="inlineStr">
        <is>
          <t>https://www.bancom.pe/personas/promociones/cuenta-ahorro</t>
        </is>
      </c>
    </row>
    <row r="14" ht="42" customHeight="1">
      <c r="A14" s="15" t="n">
        <v>10</v>
      </c>
      <c r="B14" s="15" t="inlineStr">
        <is>
          <t>Banco Ripley</t>
        </is>
      </c>
      <c r="C14" s="15" t="inlineStr">
        <is>
          <t>Cuenta Ahorro Plus</t>
        </is>
      </c>
      <c r="D14" s="16" t="n">
        <v>0.045</v>
      </c>
      <c r="E14" s="15" t="inlineStr">
        <is>
          <t>Presencial y digital</t>
        </is>
      </c>
      <c r="F14" s="17" t="n">
        <v>0</v>
      </c>
      <c r="G14" s="17" t="n">
        <v>500</v>
      </c>
      <c r="H14" s="18" t="inlineStr">
        <is>
          <t>La página conserva un ejemplo a 4.50%, pero advierte que desde agosto aplica el tarifario vigente.</t>
        </is>
      </c>
      <c r="I14" s="18" t="inlineStr">
        <is>
          <t>La TREA promocional de 4.50% aplicó a aperturas del 19/01/2026 al 31/07/2026; desde el 01/08/2026 rige el tarifario vigente</t>
        </is>
      </c>
      <c r="J14" s="15" t="inlineStr">
        <is>
          <t>Verificado en web oficial el 02/09/2026</t>
        </is>
      </c>
      <c r="K14" s="15" t="inlineStr">
        <is>
          <t>B+ (mostrada en video)</t>
        </is>
      </c>
      <c r="L14" s="15" t="inlineStr">
        <is>
          <t>Banco Ripley</t>
        </is>
      </c>
      <c r="M14" s="15" t="inlineStr">
        <is>
          <t>Sí</t>
        </is>
      </c>
      <c r="N14" s="19" t="inlineStr">
        <is>
          <t>https://www.bancoripley.com.pe/ahorros/cuenta-ahorros.html</t>
        </is>
      </c>
    </row>
    <row r="15" ht="42" customHeight="1">
      <c r="A15" s="15" t="n">
        <v>11</v>
      </c>
      <c r="B15" s="15" t="inlineStr">
        <is>
          <t>Efectibank (Banco Efectiva)</t>
        </is>
      </c>
      <c r="C15" s="15" t="inlineStr">
        <is>
          <t>Cuenta de Ahorro Digital</t>
        </is>
      </c>
      <c r="D15" s="16" t="n">
        <v>0.045</v>
      </c>
      <c r="E15" s="15" t="inlineStr">
        <is>
          <t>Digital</t>
        </is>
      </c>
      <c r="F15" s="17" t="n">
        <v>0</v>
      </c>
      <c r="G15" s="17" t="n">
        <v>0</v>
      </c>
      <c r="H15" s="18" t="inlineStr">
        <is>
          <t>Interés desde el primer sol; sin monto mínimo de apertura.</t>
        </is>
      </c>
      <c r="I15" s="18" t="inlineStr">
        <is>
          <t>TREA de tarifario vigente, sin fecha de término publicada</t>
        </is>
      </c>
      <c r="J15" s="15" t="inlineStr">
        <is>
          <t>Verificado en web oficial el 02/09/2026</t>
        </is>
      </c>
      <c r="K15" s="15" t="inlineStr">
        <is>
          <t>A- (mostrada en video)</t>
        </is>
      </c>
      <c r="L15" s="15" t="inlineStr">
        <is>
          <t>Grupo EFE</t>
        </is>
      </c>
      <c r="M15" s="15" t="inlineStr">
        <is>
          <t>Sí</t>
        </is>
      </c>
      <c r="N15" s="19" t="inlineStr">
        <is>
          <t>https://www.efectibank.pe/ahorros/cuenta-de-ahorros/</t>
        </is>
      </c>
    </row>
    <row r="16" ht="42" customHeight="1">
      <c r="A16" s="15" t="n">
        <v>12</v>
      </c>
      <c r="B16" s="15" t="inlineStr">
        <is>
          <t>Banco GNB Perú</t>
        </is>
      </c>
      <c r="C16" s="15" t="inlineStr">
        <is>
          <t>Cuenta Ahorro Rolando</t>
        </is>
      </c>
      <c r="D16" s="16" t="n">
        <v>0.045</v>
      </c>
      <c r="E16" s="15" t="inlineStr">
        <is>
          <t>Presencial y digital</t>
        </is>
      </c>
      <c r="F16" s="17" t="n">
        <v>0</v>
      </c>
      <c r="G16" s="17" t="n">
        <v>0</v>
      </c>
      <c r="H16" s="18" t="inlineStr">
        <is>
          <t>Sin monto mínimo de apertura; tasa en soles publicada para el producto.</t>
        </is>
      </c>
      <c r="I16" s="18" t="inlineStr">
        <is>
          <t>Tarifario único de cuentas vigente, sin fecha de término publicada</t>
        </is>
      </c>
      <c r="J16" s="15" t="inlineStr">
        <is>
          <t>Verificado el 02/09/2026 (tarifario y cartilla oficiales)</t>
        </is>
      </c>
      <c r="K16" s="15" t="inlineStr">
        <is>
          <t>A (mostrada en video)</t>
        </is>
      </c>
      <c r="L16" s="15" t="inlineStr">
        <is>
          <t>Grupo Financiero GNB</t>
        </is>
      </c>
      <c r="M16" s="15" t="inlineStr">
        <is>
          <t>Sí</t>
        </is>
      </c>
      <c r="N16" s="19" t="inlineStr">
        <is>
          <t>https://www.bancognb.com.pe/inicio/banca-personas/cuentas/cuenta-rolando</t>
        </is>
      </c>
    </row>
    <row r="17" ht="42" customHeight="1">
      <c r="A17" s="15" t="n">
        <v>13</v>
      </c>
      <c r="B17" s="15" t="inlineStr">
        <is>
          <t>Caja Arequipa</t>
        </is>
      </c>
      <c r="C17" s="15" t="inlineStr">
        <is>
          <t>Campaña Caja Digital</t>
        </is>
      </c>
      <c r="D17" s="16" t="n">
        <v>0.045</v>
      </c>
      <c r="E17" s="15" t="inlineStr">
        <is>
          <t>Digital</t>
        </is>
      </c>
      <c r="F17" s="17" t="n">
        <v>0</v>
      </c>
      <c r="G17" s="17" t="n">
        <v>50000</v>
      </c>
      <c r="H17" s="18" t="inlineStr">
        <is>
          <t>Tasa escalonada; 4.50% solo para saldos desde S/50,000.</t>
        </is>
      </c>
      <c r="I17" s="18" t="inlineStr">
        <is>
          <t>Ventana de aperturas del tarifario Caja Digital del 24/07/2026 al 03/09/2026; para las cuentas ya abiertas la tasa promocional rige hasta el 31 de diciembre de 2026</t>
        </is>
      </c>
      <c r="J17" s="15" t="inlineStr">
        <is>
          <t>Verificado el 02/09/2026 en el listado oficial de tarifarios de campaña</t>
        </is>
      </c>
      <c r="K17" s="15" t="inlineStr">
        <is>
          <t>A- (mostrada en video)</t>
        </is>
      </c>
      <c r="L17" s="15" t="inlineStr">
        <is>
          <t>Municipalidad Provincial de Arequipa</t>
        </is>
      </c>
      <c r="M17" s="15" t="inlineStr">
        <is>
          <t>Sí</t>
        </is>
      </c>
      <c r="N17" s="19" t="inlineStr">
        <is>
          <t>https://www.cajaarequipa.pe/</t>
        </is>
      </c>
    </row>
    <row r="18" ht="42" customHeight="1">
      <c r="A18" s="15" t="n">
        <v>14</v>
      </c>
      <c r="B18" s="15" t="inlineStr">
        <is>
          <t>Caja Piura</t>
        </is>
      </c>
      <c r="C18" s="15" t="inlineStr">
        <is>
          <t>Cuenta Light – Ahorra y gana más</t>
        </is>
      </c>
      <c r="D18" s="16" t="n">
        <v>0.045</v>
      </c>
      <c r="E18" s="15" t="inlineStr">
        <is>
          <t>Presencial y digital</t>
        </is>
      </c>
      <c r="F18" s="17" t="n">
        <v>100</v>
      </c>
      <c r="G18" s="17" t="n">
        <v>50001</v>
      </c>
      <c r="H18" s="18" t="inlineStr">
        <is>
          <t>Hasta 4.50% TREA; el video muestra el umbral máximo alrededor de S/50,001. Confirmar escala oficial.</t>
        </is>
      </c>
      <c r="I18" s="18" t="inlineStr">
        <is>
          <t>Campaña del 01/08/2026 al 31/12/2026</t>
        </is>
      </c>
      <c r="J18" s="15" t="inlineStr">
        <is>
          <t>Verificado en web oficial el 02/09/2026</t>
        </is>
      </c>
      <c r="K18" s="15" t="inlineStr">
        <is>
          <t>B (mostrada en video)</t>
        </is>
      </c>
      <c r="L18" s="15" t="inlineStr">
        <is>
          <t>Municipalidad Provincial de Piura</t>
        </is>
      </c>
      <c r="M18" s="15" t="inlineStr">
        <is>
          <t>Sí</t>
        </is>
      </c>
      <c r="N18" s="19" t="inlineStr">
        <is>
          <t>https://www.cajapiura.pe/campaigns-sweepstakes/details/gana-mas-con-cuenta-light</t>
        </is>
      </c>
    </row>
    <row r="19" ht="42" customHeight="1">
      <c r="A19" s="15" t="n">
        <v>15</v>
      </c>
      <c r="B19" s="15" t="inlineStr">
        <is>
          <t>Financiera Oh! / SIP</t>
        </is>
      </c>
      <c r="C19" s="15" t="inlineStr">
        <is>
          <t>AhorraMás Soles</t>
        </is>
      </c>
      <c r="D19" s="16" t="n">
        <v>0.04</v>
      </c>
      <c r="E19" s="15" t="inlineStr">
        <is>
          <t>Digital (app SIP)</t>
        </is>
      </c>
      <c r="F19" s="17" t="n">
        <v>0</v>
      </c>
      <c r="G19" s="17" t="n">
        <v>0</v>
      </c>
      <c r="H19" s="18" t="inlineStr">
        <is>
          <t>Sin monto mínimo de apertura; cuenta digital.</t>
        </is>
      </c>
      <c r="I19" s="18" t="inlineStr">
        <is>
          <t>Tarifario vigente según cartilla oficial, sin fecha de término publicada</t>
        </is>
      </c>
      <c r="J19" s="15" t="inlineStr">
        <is>
          <t>No revalidado el 02/09/2026: la página del producto no entregó contenido legible</t>
        </is>
      </c>
      <c r="K19" s="15" t="inlineStr">
        <is>
          <t>A- (mostrada en video)</t>
        </is>
      </c>
      <c r="L19" s="15" t="inlineStr">
        <is>
          <t>Grupo Intercorp</t>
        </is>
      </c>
      <c r="M19" s="15" t="inlineStr">
        <is>
          <t>Sí</t>
        </is>
      </c>
      <c r="N19" s="19" t="inlineStr">
        <is>
          <t>https://sip.pe/productos/ahorramas-soles</t>
        </is>
      </c>
    </row>
    <row r="20" ht="42" customHeight="1">
      <c r="A20" s="15" t="n">
        <v>16</v>
      </c>
      <c r="B20" s="15" t="inlineStr">
        <is>
          <t>Banco Falabella</t>
        </is>
      </c>
      <c r="C20" s="15" t="inlineStr">
        <is>
          <t>Cuenta Ahorro Clásico</t>
        </is>
      </c>
      <c r="D20" s="16" t="n">
        <v>0.0375</v>
      </c>
      <c r="E20" s="15" t="inlineStr">
        <is>
          <t>Presencial y digital</t>
        </is>
      </c>
      <c r="F20" s="17" t="n">
        <v>0</v>
      </c>
      <c r="G20" s="17" t="n">
        <v>1500</v>
      </c>
      <c r="H20" s="18" t="inlineStr">
        <is>
          <t>TREA de 3.75% para la cuenta regular en soles. El 5.00% requiere abonar la remuneración en el banco (cuenta sueldo).</t>
        </is>
      </c>
      <c r="I20" s="18" t="inlineStr">
        <is>
          <t>Tarifario regular vigente, sin fecha de término publicada; la promoción de Cuenta Sueldo de julio y agosto de 2026 ya venció</t>
        </is>
      </c>
      <c r="J20" s="15" t="inlineStr">
        <is>
          <t>Verificado en web oficial el 02/09/2026</t>
        </is>
      </c>
      <c r="K20" s="15" t="inlineStr">
        <is>
          <t>A- (mostrada en video)</t>
        </is>
      </c>
      <c r="L20" s="15" t="inlineStr">
        <is>
          <t>Grupo Falabella</t>
        </is>
      </c>
      <c r="M20" s="15" t="inlineStr">
        <is>
          <t>Sí</t>
        </is>
      </c>
      <c r="N20" s="19" t="inlineStr">
        <is>
          <t>https://www.bancofalabella.pe/cuentas/cuenta-ahorro-clasico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30/10/2026 02:23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 S/500 a S/3,000: TREA promocional 9.7%</t>
        </is>
      </c>
    </row>
    <row r="7">
      <c r="A7" s="15" t="inlineStr">
        <is>
          <t>Scotiabank Perú</t>
        </is>
      </c>
      <c r="B7" s="15" t="inlineStr">
        <is>
          <t>Cuenta Digital</t>
        </is>
      </c>
      <c r="C7" s="17" t="n">
        <v>3000.01</v>
      </c>
      <c r="D7" s="16" t="n">
        <v>0</v>
      </c>
      <c r="E7" s="18" t="inlineStr">
        <is>
          <t>Exceso sobre S/3,000: TREA 0%</t>
        </is>
      </c>
    </row>
    <row r="8">
      <c r="A8" s="15" t="inlineStr">
        <is>
          <t>Financiera SURGIR (Santander Financiamientos)</t>
        </is>
      </c>
      <c r="B8" s="15" t="inlineStr">
        <is>
          <t>Cuenta de Ahorro Gold Select</t>
        </is>
      </c>
      <c r="C8" s="17" t="n">
        <v>0</v>
      </c>
      <c r="D8" s="16" t="n">
        <v>0</v>
      </c>
      <c r="E8" s="18" t="inlineStr">
        <is>
          <t>Por debajo del monto de referencia: consultar tasa aplicable</t>
        </is>
      </c>
    </row>
    <row r="9">
      <c r="A9" s="15" t="inlineStr">
        <is>
          <t>Financiera SURGIR (Santander Financiamientos)</t>
        </is>
      </c>
      <c r="B9" s="15" t="inlineStr">
        <is>
          <t>Cuenta de Ahorro Gold Select</t>
        </is>
      </c>
      <c r="C9" s="17" t="n">
        <v>20000</v>
      </c>
      <c r="D9" s="16" t="n">
        <v>0.0525</v>
      </c>
      <c r="E9" s="18" t="inlineStr">
        <is>
          <t>TREA máxima publicada en la web oficial (02/09/2026)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0</v>
      </c>
      <c r="D10" s="16" t="n">
        <v>0.03</v>
      </c>
      <c r="E10" s="18" t="inlineStr">
        <is>
          <t>S/0 a S/3,999.99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4000</v>
      </c>
      <c r="D11" s="16" t="n">
        <v>0.04</v>
      </c>
      <c r="E11" s="18" t="inlineStr">
        <is>
          <t>S/4,000 a S/7,999.99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8000</v>
      </c>
      <c r="D12" s="16" t="n">
        <v>0.05</v>
      </c>
      <c r="E12" s="18" t="inlineStr">
        <is>
          <t>S/8,000 a S/499,999.99</t>
        </is>
      </c>
    </row>
    <row r="13">
      <c r="A13" s="15" t="inlineStr">
        <is>
          <t>Financiera QAPAQ</t>
        </is>
      </c>
      <c r="B13" s="15" t="inlineStr">
        <is>
          <t>Cuenta Insuperable</t>
        </is>
      </c>
      <c r="C13" s="17" t="n">
        <v>500000</v>
      </c>
      <c r="D13" s="16" t="n">
        <v>0.04</v>
      </c>
      <c r="E13" s="18" t="inlineStr">
        <is>
          <t>Desde S/500,000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0</v>
      </c>
      <c r="D14" s="16" t="n">
        <v>0.0075</v>
      </c>
      <c r="E14" s="18" t="inlineStr">
        <is>
          <t>Saldo promedio mensual hasta S/1,000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7" t="n">
        <v>1000.01</v>
      </c>
      <c r="D15" s="16" t="n">
        <v>0.015</v>
      </c>
      <c r="E15" s="18" t="inlineStr">
        <is>
          <t>De S/1,000.01 a S/2,000</t>
        </is>
      </c>
    </row>
    <row r="16">
      <c r="A16" s="15" t="inlineStr">
        <is>
          <t>Financiera Confianza</t>
        </is>
      </c>
      <c r="B16" s="15" t="inlineStr">
        <is>
          <t>Cuenta Ahorro Común – canal digital</t>
        </is>
      </c>
      <c r="C16" s="17" t="n">
        <v>2000.01</v>
      </c>
      <c r="D16" s="16" t="n">
        <v>0.025</v>
      </c>
      <c r="E16" s="18" t="inlineStr">
        <is>
          <t>De S/2,000.01 a S/3,500</t>
        </is>
      </c>
    </row>
    <row r="17">
      <c r="A17" s="15" t="inlineStr">
        <is>
          <t>Financiera Confianza</t>
        </is>
      </c>
      <c r="B17" s="15" t="inlineStr">
        <is>
          <t>Cuenta Ahorro Común – canal digital</t>
        </is>
      </c>
      <c r="C17" s="17" t="n">
        <v>3500.01</v>
      </c>
      <c r="D17" s="16" t="n">
        <v>0.035</v>
      </c>
      <c r="E17" s="18" t="inlineStr">
        <is>
          <t>De S/3,500.01 a S/5,000</t>
        </is>
      </c>
    </row>
    <row r="18">
      <c r="A18" s="15" t="inlineStr">
        <is>
          <t>Financiera Confianza</t>
        </is>
      </c>
      <c r="B18" s="15" t="inlineStr">
        <is>
          <t>Cuenta Ahorro Común – canal digital</t>
        </is>
      </c>
      <c r="C18" s="17" t="n">
        <v>5000.01</v>
      </c>
      <c r="D18" s="16" t="n">
        <v>0.045</v>
      </c>
      <c r="E18" s="18" t="inlineStr">
        <is>
          <t>De S/5,000.01 a S/10,000</t>
        </is>
      </c>
    </row>
    <row r="19">
      <c r="A19" s="15" t="inlineStr">
        <is>
          <t>Financiera Confianza</t>
        </is>
      </c>
      <c r="B19" s="15" t="inlineStr">
        <is>
          <t>Cuenta Ahorro Común – canal digital</t>
        </is>
      </c>
      <c r="C19" s="17" t="n">
        <v>10000.01</v>
      </c>
      <c r="D19" s="16" t="n">
        <v>0.05</v>
      </c>
      <c r="E19" s="18" t="inlineStr">
        <is>
          <t>De S/10,000.01 a más</t>
        </is>
      </c>
    </row>
    <row r="20">
      <c r="A20" s="15" t="inlineStr">
        <is>
          <t>Banco Falabella</t>
        </is>
      </c>
      <c r="B20" s="15" t="inlineStr">
        <is>
          <t>Cuenta Ahorro Clásico</t>
        </is>
      </c>
      <c r="C20" s="17" t="n">
        <v>0</v>
      </c>
      <c r="D20" s="16" t="n">
        <v>0.0375</v>
      </c>
      <c r="E20" s="18" t="inlineStr">
        <is>
          <t>Tasa regular publicada para la cuenta en soles</t>
        </is>
      </c>
    </row>
    <row r="21">
      <c r="A21" s="15" t="inlineStr">
        <is>
          <t>Santander Consumer Bank</t>
        </is>
      </c>
      <c r="B21" s="15" t="inlineStr">
        <is>
          <t>Cuenta Imparable</t>
        </is>
      </c>
      <c r="C21" s="17" t="n">
        <v>0</v>
      </c>
      <c r="D21" s="16" t="n">
        <v>0</v>
      </c>
      <c r="E21" s="18" t="inlineStr">
        <is>
          <t>Por debajo de S/500: no cumple condición publicada</t>
        </is>
      </c>
    </row>
    <row r="22">
      <c r="A22" s="15" t="inlineStr">
        <is>
          <t>Santander Consumer Bank</t>
        </is>
      </c>
      <c r="B22" s="15" t="inlineStr">
        <is>
          <t>Cuenta Imparable</t>
        </is>
      </c>
      <c r="C22" s="17" t="n">
        <v>500</v>
      </c>
      <c r="D22" s="16" t="n">
        <v>0.0485</v>
      </c>
      <c r="E22" s="18" t="inlineStr">
        <is>
          <t>Desde S/500</t>
        </is>
      </c>
    </row>
    <row r="23">
      <c r="A23" s="15" t="inlineStr">
        <is>
          <t>Banco Alfin</t>
        </is>
      </c>
      <c r="B23" s="15" t="inlineStr">
        <is>
          <t>Ahorro Meta</t>
        </is>
      </c>
      <c r="C23" s="17" t="n">
        <v>0</v>
      </c>
      <c r="D23" s="16" t="n">
        <v>0</v>
      </c>
      <c r="E23" s="18" t="inlineStr">
        <is>
          <t>Saldo menor a S/100</t>
        </is>
      </c>
    </row>
    <row r="24">
      <c r="A24" s="15" t="inlineStr">
        <is>
          <t>Banco Alfin</t>
        </is>
      </c>
      <c r="B24" s="15" t="inlineStr">
        <is>
          <t>Ahorro Meta</t>
        </is>
      </c>
      <c r="C24" s="17" t="n">
        <v>100</v>
      </c>
      <c r="D24" s="16" t="n">
        <v>0.048</v>
      </c>
      <c r="E24" s="18" t="inlineStr">
        <is>
          <t>Apertura web</t>
        </is>
      </c>
    </row>
    <row r="25">
      <c r="A25" s="15" t="inlineStr">
        <is>
          <t>Banco Alfin</t>
        </is>
      </c>
      <c r="B25" s="15" t="inlineStr">
        <is>
          <t>Ahorro Meta</t>
        </is>
      </c>
      <c r="C25" s="17" t="n">
        <v>100</v>
      </c>
      <c r="D25" s="16" t="n">
        <v>0.045</v>
      </c>
      <c r="E25" s="18" t="inlineStr">
        <is>
          <t>Apertura en agencia</t>
        </is>
      </c>
    </row>
    <row r="26">
      <c r="A26" s="15" t="inlineStr">
        <is>
          <t>Caja Cusco</t>
        </is>
      </c>
      <c r="B26" s="15" t="inlineStr">
        <is>
          <t>Cuenta digital Wayki / campaña Ahorra y Gana</t>
        </is>
      </c>
      <c r="C26" s="17" t="n">
        <v>0</v>
      </c>
      <c r="D26" s="16" t="n">
        <v>0.0475</v>
      </c>
      <c r="E26" s="18" t="inlineStr">
        <is>
          <t>Escenario de tasa mostrada en el video; confirmar vigencia</t>
        </is>
      </c>
    </row>
    <row r="27">
      <c r="A27" s="15" t="inlineStr">
        <is>
          <t>Compartamos Banco</t>
        </is>
      </c>
      <c r="B27" s="15" t="inlineStr">
        <is>
          <t>Cuenta WOW</t>
        </is>
      </c>
      <c r="C27" s="17" t="n">
        <v>0</v>
      </c>
      <c r="D27" s="16" t="n">
        <v>0</v>
      </c>
      <c r="E27" s="18" t="inlineStr">
        <is>
          <t>Por debajo de S/300: puede aplicar mantenimiento y/o otra tasa</t>
        </is>
      </c>
    </row>
    <row r="28">
      <c r="A28" s="15" t="inlineStr">
        <is>
          <t>Compartamos Banco</t>
        </is>
      </c>
      <c r="B28" s="15" t="inlineStr">
        <is>
          <t>Cuenta WOW</t>
        </is>
      </c>
      <c r="C28" s="17" t="n">
        <v>300</v>
      </c>
      <c r="D28" s="16" t="n">
        <v>0.046</v>
      </c>
      <c r="E28" s="18" t="inlineStr">
        <is>
          <t>Tasa promocional máxima</t>
        </is>
      </c>
    </row>
    <row r="29">
      <c r="A29" s="15" t="inlineStr">
        <is>
          <t>Bancom (Banco de Comercio)</t>
        </is>
      </c>
      <c r="B29" s="15" t="inlineStr">
        <is>
          <t>Cuenta de Ahorros Soles – promoción digital</t>
        </is>
      </c>
      <c r="C29" s="17" t="n">
        <v>0</v>
      </c>
      <c r="D29" s="16" t="n">
        <v>0.045</v>
      </c>
      <c r="E29" s="18" t="inlineStr">
        <is>
          <t>Escenario de tasa máxima de campaña; verificar rango aplicable</t>
        </is>
      </c>
    </row>
    <row r="30">
      <c r="A30" s="15" t="inlineStr">
        <is>
          <t>Banco Ripley</t>
        </is>
      </c>
      <c r="B30" s="15" t="inlineStr">
        <is>
          <t>Cuenta Ahorro Plus</t>
        </is>
      </c>
      <c r="C30" s="17" t="n">
        <v>0</v>
      </c>
      <c r="D30" s="16" t="n">
        <v>0</v>
      </c>
      <c r="E30" s="18" t="inlineStr">
        <is>
          <t>Por debajo de S/500: puede aplicar mantenimiento</t>
        </is>
      </c>
    </row>
    <row r="31">
      <c r="A31" s="15" t="inlineStr">
        <is>
          <t>Banco Ripley</t>
        </is>
      </c>
      <c r="B31" s="15" t="inlineStr">
        <is>
          <t>Cuenta Ahorro Plus</t>
        </is>
      </c>
      <c r="C31" s="17" t="n">
        <v>500</v>
      </c>
      <c r="D31" s="16" t="n">
        <v>0.045</v>
      </c>
      <c r="E31" s="18" t="inlineStr">
        <is>
          <t>Ejemplo publicado; confirmar tasa vigente</t>
        </is>
      </c>
    </row>
    <row r="32">
      <c r="A32" s="15" t="inlineStr">
        <is>
          <t>Efectibank (Banco Efectiva)</t>
        </is>
      </c>
      <c r="B32" s="15" t="inlineStr">
        <is>
          <t>Cuenta de Ahorro Digital</t>
        </is>
      </c>
      <c r="C32" s="17" t="n">
        <v>0</v>
      </c>
      <c r="D32" s="16" t="n">
        <v>0.045</v>
      </c>
      <c r="E32" s="18" t="inlineStr">
        <is>
          <t>Desde el primer sol</t>
        </is>
      </c>
    </row>
    <row r="33">
      <c r="A33" s="15" t="inlineStr">
        <is>
          <t>Banco GNB Perú</t>
        </is>
      </c>
      <c r="B33" s="15" t="inlineStr">
        <is>
          <t>Cuenta Ahorro Rolando</t>
        </is>
      </c>
      <c r="C33" s="17" t="n">
        <v>0</v>
      </c>
      <c r="D33" s="16" t="n">
        <v>0.045</v>
      </c>
      <c r="E33" s="18" t="inlineStr">
        <is>
          <t>Tasa publicada en soles</t>
        </is>
      </c>
    </row>
    <row r="34">
      <c r="A34" s="15" t="inlineStr">
        <is>
          <t>Caja Arequipa</t>
        </is>
      </c>
      <c r="B34" s="15" t="inlineStr">
        <is>
          <t>Campaña Caja Digital</t>
        </is>
      </c>
      <c r="C34" s="17" t="n">
        <v>0</v>
      </c>
      <c r="D34" s="16" t="n">
        <v>0.002</v>
      </c>
      <c r="E34" s="18" t="inlineStr">
        <is>
          <t>Hasta S/1,499.99</t>
        </is>
      </c>
    </row>
    <row r="35">
      <c r="A35" s="15" t="inlineStr">
        <is>
          <t>Caja Arequipa</t>
        </is>
      </c>
      <c r="B35" s="15" t="inlineStr">
        <is>
          <t>Campaña Caja Digital</t>
        </is>
      </c>
      <c r="C35" s="17" t="n">
        <v>1500</v>
      </c>
      <c r="D35" s="16" t="n">
        <v>0.025</v>
      </c>
      <c r="E35" s="18" t="inlineStr">
        <is>
          <t>S/1,500 a S/19,999.99</t>
        </is>
      </c>
    </row>
    <row r="36">
      <c r="A36" s="15" t="inlineStr">
        <is>
          <t>Caja Arequipa</t>
        </is>
      </c>
      <c r="B36" s="15" t="inlineStr">
        <is>
          <t>Campaña Caja Digital</t>
        </is>
      </c>
      <c r="C36" s="17" t="n">
        <v>20000</v>
      </c>
      <c r="D36" s="16" t="n">
        <v>0.035</v>
      </c>
      <c r="E36" s="18" t="inlineStr">
        <is>
          <t>S/20,000 a S/49,999.99</t>
        </is>
      </c>
    </row>
    <row r="37">
      <c r="A37" s="15" t="inlineStr">
        <is>
          <t>Caja Arequipa</t>
        </is>
      </c>
      <c r="B37" s="15" t="inlineStr">
        <is>
          <t>Campaña Caja Digital</t>
        </is>
      </c>
      <c r="C37" s="17" t="n">
        <v>50000</v>
      </c>
      <c r="D37" s="16" t="n">
        <v>0.045</v>
      </c>
      <c r="E37" s="18" t="inlineStr">
        <is>
          <t>Desde S/50,000</t>
        </is>
      </c>
    </row>
    <row r="38">
      <c r="A38" s="15" t="inlineStr">
        <is>
          <t>Caja Piura</t>
        </is>
      </c>
      <c r="B38" s="15" t="inlineStr">
        <is>
          <t>Cuenta Light – Ahorra y gana más</t>
        </is>
      </c>
      <c r="C38" s="17" t="n">
        <v>0</v>
      </c>
      <c r="D38" s="16" t="n">
        <v>0</v>
      </c>
      <c r="E38" s="18" t="inlineStr">
        <is>
          <t>Tasa del rango inferior: consultar TyC</t>
        </is>
      </c>
    </row>
    <row r="39">
      <c r="A39" s="15" t="inlineStr">
        <is>
          <t>Caja Piura</t>
        </is>
      </c>
      <c r="B39" s="15" t="inlineStr">
        <is>
          <t>Cuenta Light – Ahorra y gana más</t>
        </is>
      </c>
      <c r="C39" s="17" t="n">
        <v>50001</v>
      </c>
      <c r="D39" s="16" t="n">
        <v>0.045</v>
      </c>
      <c r="E39" s="18" t="inlineStr">
        <is>
          <t>Tasa máxima reconstruida del video</t>
        </is>
      </c>
    </row>
    <row r="40">
      <c r="A40" s="15" t="inlineStr">
        <is>
          <t>Financiera Oh! / SIP</t>
        </is>
      </c>
      <c r="B40" s="15" t="inlineStr">
        <is>
          <t>AhorraMás Soles</t>
        </is>
      </c>
      <c r="C40" s="17" t="n">
        <v>0</v>
      </c>
      <c r="D40" s="16" t="n">
        <v>0.04</v>
      </c>
      <c r="E40" s="18" t="inlineStr">
        <is>
          <t>Desde el primer sol</t>
        </is>
      </c>
    </row>
  </sheetData>
  <autoFilter ref="A4:E40"/>
  <mergeCells count="2">
    <mergeCell ref="A2:E2"/>
    <mergeCell ref="A1:E1"/>
  </mergeCells>
  <conditionalFormatting sqref="D5:D40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30/10/2026 02:23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 (Santander Financiamientos)</t>
        </is>
      </c>
      <c r="C11" s="25" t="n">
        <v>0.0525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Santander Consumer Bank</t>
        </is>
      </c>
      <c r="C14" s="25" t="n">
        <v>0.0485</v>
      </c>
      <c r="D14" s="26">
        <f>(1+C14)^(1/12)-1</f>
        <v/>
      </c>
      <c r="E14" s="27">
        <f>$B$5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Banco Alfin</t>
        </is>
      </c>
      <c r="C15" s="25" t="n">
        <v>0.048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Compartamos Banco</t>
        </is>
      </c>
      <c r="C16" s="25" t="n">
        <v>0.046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Bancom (Banco de Comercio)</t>
        </is>
      </c>
      <c r="C18" s="25" t="n">
        <v>0.045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Ripley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Efectibank (Banco Efectiva)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Banco GNB Perú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Caja Arequipa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Piura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Financiera Oh! / SIP</t>
        </is>
      </c>
      <c r="C24" s="25" t="n">
        <v>0.04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Banco Falabella</t>
        </is>
      </c>
      <c r="C25" s="25" t="n">
        <v>0.0375</v>
      </c>
      <c r="D25" s="26">
        <f>(1+C25)^(1/12)-1</f>
        <v/>
      </c>
      <c r="E25" s="27">
        <f>MIN($B$5,100000.0)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30/10/2026 02:23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2024-01</t>
        </is>
      </c>
      <c r="B5" s="25" t="n">
        <v>0.065</v>
      </c>
      <c r="C5" s="24" t="n"/>
    </row>
    <row r="6">
      <c r="A6" s="24" t="inlineStr">
        <is>
          <t>2024-02</t>
        </is>
      </c>
      <c r="B6" s="25" t="n">
        <v>0.0625</v>
      </c>
      <c r="C6" s="29">
        <f>(B6-B5)*100</f>
        <v/>
      </c>
    </row>
    <row r="7">
      <c r="A7" s="24" t="inlineStr">
        <is>
          <t>2024-03</t>
        </is>
      </c>
      <c r="B7" s="25" t="n">
        <v>0.0625</v>
      </c>
      <c r="C7" s="29">
        <f>(B7-B6)*100</f>
        <v/>
      </c>
    </row>
    <row r="8">
      <c r="A8" s="24" t="inlineStr">
        <is>
          <t>2024-04</t>
        </is>
      </c>
      <c r="B8" s="25" t="n">
        <v>0.06</v>
      </c>
      <c r="C8" s="29">
        <f>(B8-B7)*100</f>
        <v/>
      </c>
    </row>
    <row r="9">
      <c r="A9" s="24" t="inlineStr">
        <is>
          <t>2024-05</t>
        </is>
      </c>
      <c r="B9" s="25" t="n">
        <v>0.0575</v>
      </c>
      <c r="C9" s="29">
        <f>(B9-B8)*100</f>
        <v/>
      </c>
    </row>
    <row r="10">
      <c r="A10" s="24" t="inlineStr">
        <is>
          <t>2024-06</t>
        </is>
      </c>
      <c r="B10" s="25" t="n">
        <v>0.0575</v>
      </c>
      <c r="C10" s="29">
        <f>(B10-B9)*100</f>
        <v/>
      </c>
    </row>
    <row r="11">
      <c r="A11" s="24" t="inlineStr">
        <is>
          <t>2024-07</t>
        </is>
      </c>
      <c r="B11" s="25" t="n">
        <v>0.0575</v>
      </c>
      <c r="C11" s="29">
        <f>(B11-B10)*100</f>
        <v/>
      </c>
    </row>
    <row r="12">
      <c r="A12" s="24" t="inlineStr">
        <is>
          <t>2024-08</t>
        </is>
      </c>
      <c r="B12" s="25" t="n">
        <v>0.055</v>
      </c>
      <c r="C12" s="29">
        <f>(B12-B11)*100</f>
        <v/>
      </c>
    </row>
    <row r="13">
      <c r="A13" s="24" t="inlineStr">
        <is>
          <t>2024-09</t>
        </is>
      </c>
      <c r="B13" s="25" t="n">
        <v>0.0525</v>
      </c>
      <c r="C13" s="29">
        <f>(B13-B12)*100</f>
        <v/>
      </c>
    </row>
    <row r="14">
      <c r="A14" s="24" t="inlineStr">
        <is>
          <t>2024-10</t>
        </is>
      </c>
      <c r="B14" s="25" t="n">
        <v>0.0525</v>
      </c>
      <c r="C14" s="29">
        <f>(B14-B13)*100</f>
        <v/>
      </c>
    </row>
    <row r="15">
      <c r="A15" s="24" t="inlineStr">
        <is>
          <t>2024-11</t>
        </is>
      </c>
      <c r="B15" s="25" t="n">
        <v>0.05</v>
      </c>
      <c r="C15" s="29">
        <f>(B15-B14)*100</f>
        <v/>
      </c>
    </row>
    <row r="16">
      <c r="A16" s="24" t="inlineStr">
        <is>
          <t>2024-12</t>
        </is>
      </c>
      <c r="B16" s="25" t="n">
        <v>0.05</v>
      </c>
      <c r="C16" s="29">
        <f>(B16-B15)*100</f>
        <v/>
      </c>
    </row>
    <row r="17">
      <c r="A17" s="24" t="inlineStr">
        <is>
          <t>2025-01</t>
        </is>
      </c>
      <c r="B17" s="25" t="n">
        <v>0.0475</v>
      </c>
      <c r="C17" s="29">
        <f>(B17-B16)*100</f>
        <v/>
      </c>
    </row>
    <row r="18">
      <c r="A18" s="24" t="inlineStr">
        <is>
          <t>2025-02</t>
        </is>
      </c>
      <c r="B18" s="25" t="n">
        <v>0.0475</v>
      </c>
      <c r="C18" s="29">
        <f>(B18-B17)*100</f>
        <v/>
      </c>
    </row>
    <row r="19">
      <c r="A19" s="24" t="inlineStr">
        <is>
          <t>2025-03</t>
        </is>
      </c>
      <c r="B19" s="25" t="n">
        <v>0.0475</v>
      </c>
      <c r="C19" s="29">
        <f>(B19-B18)*100</f>
        <v/>
      </c>
    </row>
    <row r="20">
      <c r="A20" s="24" t="inlineStr">
        <is>
          <t>2025-04</t>
        </is>
      </c>
      <c r="B20" s="25" t="n">
        <v>0.0475</v>
      </c>
      <c r="C20" s="29">
        <f>(B20-B19)*100</f>
        <v/>
      </c>
    </row>
    <row r="21">
      <c r="A21" s="24" t="inlineStr">
        <is>
          <t>2025-05</t>
        </is>
      </c>
      <c r="B21" s="25" t="n">
        <v>0.045</v>
      </c>
      <c r="C21" s="29">
        <f>(B21-B20)*100</f>
        <v/>
      </c>
    </row>
    <row r="22">
      <c r="A22" s="24" t="inlineStr">
        <is>
          <t>2025-06</t>
        </is>
      </c>
      <c r="B22" s="25" t="n">
        <v>0.045</v>
      </c>
      <c r="C22" s="29">
        <f>(B22-B21)*100</f>
        <v/>
      </c>
    </row>
    <row r="23">
      <c r="A23" s="24" t="inlineStr">
        <is>
          <t>2025-07</t>
        </is>
      </c>
      <c r="B23" s="25" t="n">
        <v>0.045</v>
      </c>
      <c r="C23" s="29">
        <f>(B23-B22)*100</f>
        <v/>
      </c>
    </row>
    <row r="24">
      <c r="A24" s="24" t="inlineStr">
        <is>
          <t>2025-08</t>
        </is>
      </c>
      <c r="B24" s="25" t="n">
        <v>0.045</v>
      </c>
      <c r="C24" s="29">
        <f>(B24-B23)*100</f>
        <v/>
      </c>
    </row>
    <row r="25">
      <c r="A25" s="24" t="inlineStr">
        <is>
          <t>2025-09</t>
        </is>
      </c>
      <c r="B25" s="25" t="n">
        <v>0.0425</v>
      </c>
      <c r="C25" s="29">
        <f>(B25-B24)*100</f>
        <v/>
      </c>
    </row>
    <row r="26">
      <c r="A26" s="24" t="inlineStr">
        <is>
          <t>2025-10</t>
        </is>
      </c>
      <c r="B26" s="25" t="n">
        <v>0.0425</v>
      </c>
      <c r="C26" s="29">
        <f>(B26-B25)*100</f>
        <v/>
      </c>
    </row>
    <row r="27">
      <c r="A27" s="24" t="inlineStr">
        <is>
          <t>2025-11</t>
        </is>
      </c>
      <c r="B27" s="25" t="n">
        <v>0.0425</v>
      </c>
      <c r="C27" s="29">
        <f>(B27-B26)*100</f>
        <v/>
      </c>
    </row>
    <row r="28">
      <c r="A28" s="24" t="inlineStr">
        <is>
          <t>2025-12</t>
        </is>
      </c>
      <c r="B28" s="25" t="n">
        <v>0.0425</v>
      </c>
      <c r="C28" s="29">
        <f>(B28-B27)*100</f>
        <v/>
      </c>
    </row>
    <row r="29">
      <c r="A29" s="24" t="inlineStr">
        <is>
          <t>2026-01</t>
        </is>
      </c>
      <c r="B29" s="25" t="n">
        <v>0.0425</v>
      </c>
      <c r="C29" s="29">
        <f>(B29-B28)*100</f>
        <v/>
      </c>
    </row>
    <row r="30">
      <c r="A30" s="24" t="inlineStr">
        <is>
          <t>2026-02</t>
        </is>
      </c>
      <c r="B30" s="25" t="n">
        <v>0.0425</v>
      </c>
      <c r="C30" s="29">
        <f>(B30-B29)*100</f>
        <v/>
      </c>
    </row>
    <row r="31">
      <c r="A31" s="24" t="inlineStr">
        <is>
          <t>2026-03</t>
        </is>
      </c>
      <c r="B31" s="25" t="n">
        <v>0.0425</v>
      </c>
      <c r="C31" s="29">
        <f>(B31-B30)*100</f>
        <v/>
      </c>
    </row>
    <row r="32">
      <c r="A32" s="24" t="inlineStr">
        <is>
          <t>2026-04</t>
        </is>
      </c>
      <c r="B32" s="25" t="n">
        <v>0.0425</v>
      </c>
      <c r="C32" s="29">
        <f>(B32-B31)*100</f>
        <v/>
      </c>
    </row>
    <row r="33">
      <c r="A33" s="24" t="inlineStr">
        <is>
          <t>2026-05</t>
        </is>
      </c>
      <c r="B33" s="25" t="n">
        <v>0.0425</v>
      </c>
      <c r="C33" s="29">
        <f>(B33-B32)*100</f>
        <v/>
      </c>
    </row>
    <row r="34">
      <c r="A34" s="24" t="inlineStr">
        <is>
          <t>2026-06</t>
        </is>
      </c>
      <c r="B34" s="25" t="n">
        <v>0.0425</v>
      </c>
      <c r="C34" s="29">
        <f>(B34-B33)*100</f>
        <v/>
      </c>
    </row>
    <row r="35">
      <c r="A35" s="24" t="inlineStr">
        <is>
          <t>2026-07</t>
        </is>
      </c>
      <c r="B35" s="25" t="n">
        <v>0.0425</v>
      </c>
      <c r="C35" s="29">
        <f>(B35-B34)*100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30/10/2026 02:23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 el 02/09/2026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 (Santander Financiamientos)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Verificado en web oficial el 02/09/2026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el 02/09/2026 (tarifario publicado por la entidad)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el 02/09/2026 en el tarifario oficial de campaña</t>
        </is>
      </c>
      <c r="E15" s="19" t="inlineStr">
        <is>
          <t>https://confianza.pe/</t>
        </is>
      </c>
    </row>
    <row r="16">
      <c r="A16" s="15" t="inlineStr">
        <is>
          <t>Santander Consumer Bank</t>
        </is>
      </c>
      <c r="B16" s="15" t="inlineStr">
        <is>
          <t>Cuenta Imparable</t>
        </is>
      </c>
      <c r="C16" s="15" t="inlineStr">
        <is>
          <t>Sí</t>
        </is>
      </c>
      <c r="D16" s="18" t="inlineStr">
        <is>
          <t>Verificado en web oficial el 02/09/2026</t>
        </is>
      </c>
      <c r="E16" s="19" t="inlineStr">
        <is>
          <t>https://www.santanderconsumer.com.pe/personas/ahorros/cuenta-imparable-santander</t>
        </is>
      </c>
    </row>
    <row r="17">
      <c r="A17" s="15" t="inlineStr">
        <is>
          <t>Banco Alfin</t>
        </is>
      </c>
      <c r="B17" s="15" t="inlineStr">
        <is>
          <t>Ahorro Meta</t>
        </is>
      </c>
      <c r="C17" s="15" t="inlineStr">
        <is>
          <t>Sí</t>
        </is>
      </c>
      <c r="D17" s="18" t="inlineStr">
        <is>
          <t>Verificado en web oficial el 02/09/2026</t>
        </is>
      </c>
      <c r="E17" s="19" t="inlineStr">
        <is>
          <t>https://www.alfinbanco.pe/ahorros/ahorrometa</t>
        </is>
      </c>
    </row>
    <row r="18">
      <c r="A18" s="15" t="inlineStr">
        <is>
          <t>Compartamos Banco</t>
        </is>
      </c>
      <c r="B18" s="15" t="inlineStr">
        <is>
          <t>Cuenta WOW</t>
        </is>
      </c>
      <c r="C18" s="15" t="inlineStr">
        <is>
          <t>Sí</t>
        </is>
      </c>
      <c r="D18" s="18" t="inlineStr">
        <is>
          <t>Verificado el 02/09/2026 (web oficial y contraste con comparabien)</t>
        </is>
      </c>
      <c r="E18" s="19" t="inlineStr">
        <is>
          <t>https://productos.compartamos.com.pe/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No verificado: no se localizó tarifario de campaña vigente en setiembre 2026</t>
        </is>
      </c>
      <c r="E19" s="19" t="inlineStr">
        <is>
          <t>https://www.cmac-cusco.com.pe/</t>
        </is>
      </c>
    </row>
    <row r="20">
      <c r="A20" s="15" t="inlineStr">
        <is>
          <t>Bancom (Banco de Comercio)</t>
        </is>
      </c>
      <c r="B20" s="15" t="inlineStr">
        <is>
          <t>Cuenta de Ahorros Soles – promoción digital</t>
        </is>
      </c>
      <c r="C20" s="15" t="inlineStr">
        <is>
          <t>Sí</t>
        </is>
      </c>
      <c r="D20" s="18" t="inlineStr">
        <is>
          <t>Verificado en web oficial el 02/09/2026</t>
        </is>
      </c>
      <c r="E20" s="19" t="inlineStr">
        <is>
          <t>https://www.bancom.pe/personas/promociones/cuenta-ahorro</t>
        </is>
      </c>
    </row>
    <row r="21">
      <c r="A21" s="15" t="inlineStr">
        <is>
          <t>Banco Ripley</t>
        </is>
      </c>
      <c r="B21" s="15" t="inlineStr">
        <is>
          <t>Cuenta Ahorro Plus</t>
        </is>
      </c>
      <c r="C21" s="15" t="inlineStr">
        <is>
          <t>Sí</t>
        </is>
      </c>
      <c r="D21" s="18" t="inlineStr">
        <is>
          <t>Verificado en web oficial el 02/09/2026</t>
        </is>
      </c>
      <c r="E21" s="19" t="inlineStr">
        <is>
          <t>https://www.bancoripley.com.pe/ahorros/cuenta-ahorros.html</t>
        </is>
      </c>
    </row>
    <row r="22">
      <c r="A22" s="15" t="inlineStr">
        <is>
          <t>Efectibank (Banco Efectiva)</t>
        </is>
      </c>
      <c r="B22" s="15" t="inlineStr">
        <is>
          <t>Cuenta de Ahorro Digital</t>
        </is>
      </c>
      <c r="C22" s="15" t="inlineStr">
        <is>
          <t>Sí</t>
        </is>
      </c>
      <c r="D22" s="18" t="inlineStr">
        <is>
          <t>Verificado en web oficial el 02/09/2026</t>
        </is>
      </c>
      <c r="E22" s="19" t="inlineStr">
        <is>
          <t>https://www.efectibank.pe/ahorros/cuenta-de-ahorros/</t>
        </is>
      </c>
    </row>
    <row r="23">
      <c r="A23" s="15" t="inlineStr">
        <is>
          <t>Banco GNB Perú</t>
        </is>
      </c>
      <c r="B23" s="15" t="inlineStr">
        <is>
          <t>Cuenta Ahorro Rolando</t>
        </is>
      </c>
      <c r="C23" s="15" t="inlineStr">
        <is>
          <t>Sí</t>
        </is>
      </c>
      <c r="D23" s="18" t="inlineStr">
        <is>
          <t>Verificado el 02/09/2026 (tarifario y cartilla oficiales)</t>
        </is>
      </c>
      <c r="E23" s="19" t="inlineStr">
        <is>
          <t>https://www.bancognb.com.pe/inicio/banca-personas/cuentas/cuenta-rolando</t>
        </is>
      </c>
    </row>
    <row r="24">
      <c r="A24" s="15" t="inlineStr">
        <is>
          <t>Caja Arequipa</t>
        </is>
      </c>
      <c r="B24" s="15" t="inlineStr">
        <is>
          <t>Campaña Caja Digital</t>
        </is>
      </c>
      <c r="C24" s="15" t="inlineStr">
        <is>
          <t>Sí</t>
        </is>
      </c>
      <c r="D24" s="18" t="inlineStr">
        <is>
          <t>Verificado el 02/09/2026 en el listado oficial de tarifarios de campaña</t>
        </is>
      </c>
      <c r="E24" s="19" t="inlineStr">
        <is>
          <t>https://www.cajaarequipa.pe/</t>
        </is>
      </c>
    </row>
    <row r="25">
      <c r="A25" s="15" t="inlineStr">
        <is>
          <t>Caja Piura</t>
        </is>
      </c>
      <c r="B25" s="15" t="inlineStr">
        <is>
          <t>Cuenta Light – Ahorra y gana más</t>
        </is>
      </c>
      <c r="C25" s="15" t="inlineStr">
        <is>
          <t>Sí</t>
        </is>
      </c>
      <c r="D25" s="18" t="inlineStr">
        <is>
          <t>Verificado en web oficial el 02/09/2026</t>
        </is>
      </c>
      <c r="E25" s="19" t="inlineStr">
        <is>
          <t>https://www.cajapiura.pe/campaigns-sweepstakes/details/gana-mas-con-cuenta-light</t>
        </is>
      </c>
    </row>
    <row r="26">
      <c r="A26" s="15" t="inlineStr">
        <is>
          <t>Financiera Oh! / SIP</t>
        </is>
      </c>
      <c r="B26" s="15" t="inlineStr">
        <is>
          <t>AhorraMás Soles</t>
        </is>
      </c>
      <c r="C26" s="15" t="inlineStr">
        <is>
          <t>Sí</t>
        </is>
      </c>
      <c r="D26" s="18" t="inlineStr">
        <is>
          <t>No revalidado el 02/09/2026: la página del producto no entregó contenido legible</t>
        </is>
      </c>
      <c r="E26" s="19" t="inlineStr">
        <is>
          <t>https://sip.pe/productos/ahorramas-soles</t>
        </is>
      </c>
    </row>
    <row r="27">
      <c r="A27" s="15" t="inlineStr">
        <is>
          <t>Banco Falabella</t>
        </is>
      </c>
      <c r="B27" s="15" t="inlineStr">
        <is>
          <t>Cuenta Ahorro Clásico</t>
        </is>
      </c>
      <c r="C27" s="15" t="inlineStr">
        <is>
          <t>Sí</t>
        </is>
      </c>
      <c r="D27" s="18" t="inlineStr">
        <is>
          <t>Verificado en web oficial el 02/09/2026</t>
        </is>
      </c>
      <c r="E27" s="19" t="inlineStr">
        <is>
          <t>https://www.bancofalabella.pe/cuentas/cuenta-ahorro-clasico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30/10/2026 02:23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sin campaña de setiembre publicada al cierre de este corte</t>
        </is>
      </c>
      <c r="F5" s="18" t="inlineStr">
        <is>
          <t>Nuevo cliente; primera Cuenta Digital; mantener saldo promedio ≥ S/500. La TREA de 9.7% aplica solo hasta S/3,000; el exceso recibe 0%.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Campaña de agosto vencida al 02/09/2026 y sin reemplazo publicado: la web aún muestra el 9.7% para aperturas del 1 al 31/08/2026. Además la tasa se aplica solo los primeros 90 días calendario y únicamente sobre el saldo promedio mensual hasta S/3,000 (el exceso, 0%). La TREA regular fuera de campaña es 0%.</t>
        </is>
      </c>
    </row>
    <row r="6" ht="58" customHeight="1">
      <c r="A6" s="15" t="inlineStr">
        <is>
          <t>Financiera SURGIR (Santander Financiamientos)</t>
        </is>
      </c>
      <c r="B6" s="15" t="inlineStr">
        <is>
          <t>Cuenta de Ahorro Gold Select</t>
        </is>
      </c>
      <c r="C6" s="16" t="n">
        <v>0.0525</v>
      </c>
      <c r="D6" s="18" t="inlineStr">
        <is>
          <t>Presencial</t>
        </is>
      </c>
      <c r="E6" s="18" t="inlineStr">
        <is>
          <t>Tasa de tarifario publicada en la web oficial, sin fecha de término; confirmar el día de la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La TREA máxima bajó de 5.60% a 5.25% respecto del corte anterior (06/08/2026). Atención exclusiva por Banca Select. Razón social: Santander Financiamientos S.A.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vigente, sin fecha de término publicada; verificar la versión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01/09/2026 al 30/09/2026 (tarifario T008-028)</t>
        </is>
      </c>
      <c r="F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El beneficio de tasa dura 90 días calendario desde la apertura; al vencer se aplica la TREA de tarifario de Cuenta Ahorro Común (0.75%). La tasa de 5.00% exige saldo promedio mensual superior a S/10,000.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0.0375</v>
      </c>
      <c r="D9" s="18" t="inlineStr">
        <is>
          <t>Presencial y digital</t>
        </is>
      </c>
      <c r="E9" s="18" t="inlineStr">
        <is>
          <t>Tarifario regular vigente, sin fecha de término publicada; la promoción de Cuenta Sueldo de julio y agosto de 2026 ya venció</t>
        </is>
      </c>
      <c r="F9" s="18" t="inlineStr">
        <is>
          <t>TREA de 3.75% para la cuenta regular en soles. El 5.00% requiere abonar la remuneración en el banco (cuenta sueldo).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Se corrigió la TREA de referencia: 3.75% es la tasa regular publicada; el 5.00% del corte anterior correspondía a la condición de cuenta sueldo, no a la cuenta clásica.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TREA preferencial del 01/05/2026 al 31/12/2026; desde el 01/01/2027 rige el tarifario vigente</t>
        </is>
      </c>
      <c r="F10" s="18" t="inlineStr">
        <is>
          <t>Depósitos desde S/500 y apertura por canal remoto (abretucuenta.santanderconsumer.com.pe).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Con saldo menor a S/500 se cobra mantenimiento mensual de S/8.00. Al terminar el periodo promocional la tasa se ajusta al tarifario vigente.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Ventana de aperturas web del 07/07/2026 al 15/08/2026; la tasa de 4.80% se mantiene hasta el 15 de setiembre de 2026 y desde el día siguiente baja a 4.00%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ventana de apertura ya cerró: la tasa de 4.80% (web) / 4.50% (agencia) solo se mantiene hasta el 15/09/2026 para quienes ya abrieron; desde el 16/09/2026 pasa a 4.00%.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0.045</v>
      </c>
      <c r="D12" s="18" t="inlineStr">
        <is>
          <t>Digital</t>
        </is>
      </c>
      <c r="E12" s="18" t="inlineStr">
        <is>
          <t>Último tarifario digital publicado (Ahorra y Gana, Wayki App): tasa preferencial hasta el 31/03/2026. Sin campaña vigente localizada en setiembre de 2026</t>
        </is>
      </c>
      <c r="F12" s="18" t="inlineStr">
        <is>
          <t>Apertura por Wayki App; mantener saldo de cierre diario ≥ S/300 para conservar la tasa de campaña.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Dato no confirmado. El 4.75% del corte anterior provenía del video y no de un tarifario oficial; los tarifarios publicados por la caja (4.50% en enero 2026, 5.10% en agosto 2025) están vencidos. Consulte la tasa vigente en la Wayki App antes de abrir.</t>
        </is>
      </c>
    </row>
    <row r="13" ht="58" customHeight="1">
      <c r="A13" s="15" t="inlineStr">
        <is>
          <t>Compartamos Banco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renovada, vigente al cierre de este corte, sin fecha de término publicada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La entidad figura ahora como Compartamos Banco en la relación de miembros del FSD (antes Compartamos Financiera). La tasa aplica a aperturas por canal digital y red de agencias.</t>
        </is>
      </c>
    </row>
    <row r="14" ht="58" customHeight="1">
      <c r="A14" s="15" t="inlineStr">
        <is>
          <t>Bancom (Banco de Comercio)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Ventana de aperturas del 01/08/2026 al 31/08/2026 o hasta agotar stock; para las cuentas ya abiertas las tasas de campaña de 3.50% y 4.50% rigen hasta el 31 de enero de 2027</t>
        </is>
      </c>
      <c r="F14" s="18" t="inlineStr">
        <is>
          <t>Cuenta Ahorro Preferencial en soles: 4.50% TREA por apertura en canal digital y 3.50% por apertura en agencia.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La ventana de aperturas de la campaña cerró el 31/08/2026 (o al agotarse el stock de S/1,500,000). Para cuentas ya abiertas, la tasa se mantiene hasta el 31/01/2027; después se aplica el tarifario vigente de la Cuenta de Ahorros Preferencial.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TREA promocional de 4.50% aplicó a aperturas del 19/01/2026 al 31/07/2026; desde el 01/08/2026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Campaña vencida: la promoción cerró el 31/07/2026 o al agotarse el fondo promocional de S/2,000,000. Consulte el tarifario vigente antes de abrir. Se exige saldo mínimo de S/500 para no pagar mantenimiento mensual.</t>
        </is>
      </c>
    </row>
    <row r="16" ht="58" customHeight="1">
      <c r="A16" s="15" t="inlineStr">
        <is>
          <t>Efectibank (Banco Efectiva)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TREA de tarifario vigente, sin fecha de término publicada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entidad cambió de dominio y de marca: efectiva.com.pe redirige a efectibank.pe y en la relación de miembros del FSD figura como Banco Efectiva. Tasa única, sin escala por saldo publicada.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Tarifario único de cuentas vigente, sin fecha de término publicada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Sin monto mínimo de apertura ni costo de mantenimiento. Los intereses se abonan diariamente.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Ventana de aperturas del tarifario Caja Digital del 24/07/2026 al 03/09/2026; para las cuentas ya abiertas la tasa promocional rige hasta el 31 de diciembre de 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ventana de aperturas cierra el 03/09/2026. Después de esa fecha la campaña deja de admitir nuevas cuentas, aunque la tasa se mantiene hasta el 31/12/2026 para las ya abiertas.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Es una tasa de hasta 4.50%: sube por tramos según el saldo. Sin costo de mantenimiento.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Tarifario vigente según cartilla oficial, sin fecha de término publicada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Dato arrastrado del corte anterior. Confirme la TREA en la cartilla de información y el tarifario vigentes antes de contratar.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30/10/2026 02:23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30/10/2026 02:23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>
        <is>
          <t>Si</t>
        </is>
      </c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>
        <is>
          <t>Si</t>
        </is>
      </c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30/10/2026 02:23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agosto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 (campaña del 01/08 al 31/08/2026, vencida)</t>
        </is>
      </c>
      <c r="E9" s="18" t="inlineStr">
        <is>
          <t>Verificado en web oficial</t>
        </is>
      </c>
      <c r="F9" s="18" t="inlineStr">
        <is>
          <t>La TREA promocional solo aplica al saldo promedio mensual hasta S/3,000 y durante los primeros 90 días; el exceso recibe 0%. Sin campaña de setiembre publicada al 02/09/2026.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  <row r="29" ht="34" customHeight="1">
      <c r="A29" s="18" t="inlineStr">
        <is>
          <t>Revisión del 02/09/2026</t>
        </is>
      </c>
      <c r="B29" s="18" t="inlineStr">
        <is>
          <t>Verificación directa</t>
        </is>
      </c>
      <c r="C29" s="18" t="inlineStr">
        <is>
          <t>—</t>
        </is>
      </c>
      <c r="D29" s="18" t="inlineStr">
        <is>
          <t>Se revisaron las 16 tasas en la web y los tarifarios oficiales de cada entidad</t>
        </is>
      </c>
      <c r="E29" s="18" t="inlineStr">
        <is>
          <t>Alta salvo lo indicado</t>
        </is>
      </c>
      <c r="F29" s="18" t="inlineStr">
        <is>
          <t>No se pudo revalidar Caja Cusco (sin tarifario de campaña vigente) ni Financiera Oh! / SIP (página sin contenido legible).</t>
        </is>
      </c>
    </row>
  </sheetData>
  <autoFilter ref="A4:F29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2026-10-30T02:23:53Z</dcterms:created>
  <dcterms:modified xsi:type="dcterms:W3CDTF">2026-10-30T02:23:53Z</dcterms:modified>
</cp:coreProperties>
</file>